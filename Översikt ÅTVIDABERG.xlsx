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46216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46216</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46216</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46216</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46216</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46216</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46216</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s="2" t="inlineStr">
        <is>
          <t>Brandtaggsvamp
Garnlav
Knärot
Dammfladdermus
Mindre hackspett
Orange taggsvamp
Tallticka
Talltita
Ullticka
Vedskivlav
Bronshjon
Rävticka
Järpe
Spillkråka</t>
        </is>
      </c>
      <c r="V8">
        <f>HYPERLINK("https://klasma.github.io/Logging_0561/artfynd/A 37222-2023 artfynd.xlsx", "A 37222-2023")</f>
        <v/>
      </c>
      <c r="W8">
        <f>HYPERLINK("https://klasma.github.io/Logging_0561/kartor/A 37222-2023 karta.png", "A 37222-2023")</f>
        <v/>
      </c>
      <c r="X8">
        <f>HYPERLINK("https://klasma.github.io/Logging_0561/knärot/A 37222-2023 karta knärot.png", "A 37222-2023")</f>
        <v/>
      </c>
      <c r="Y8">
        <f>HYPERLINK("https://klasma.github.io/Logging_0561/klagomål/A 37222-2023 FSC-klagomål.docx", "A 37222-2023")</f>
        <v/>
      </c>
      <c r="Z8">
        <f>HYPERLINK("https://klasma.github.io/Logging_0561/klagomålsmail/A 37222-2023 FSC-klagomål mail.docx", "A 37222-2023")</f>
        <v/>
      </c>
      <c r="AA8">
        <f>HYPERLINK("https://klasma.github.io/Logging_0561/tillsyn/A 37222-2023 tillsynsbegäran.docx", "A 37222-2023")</f>
        <v/>
      </c>
      <c r="AB8">
        <f>HYPERLINK("https://klasma.github.io/Logging_0561/tillsynsmail/A 37222-2023 tillsynsbegäran mail.docx", "A 37222-2023")</f>
        <v/>
      </c>
      <c r="AC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46216</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s="2" t="inlineStr">
        <is>
          <t>Vedtrappmossa
Björksplintborre
Blodticka
Bronshjon
Grovticka
Grön sköldmossa
Grönpyrola
Mindre märgborre
Västlig hakmossa
Vågbandad barkbock
Blåsippa
Kransmossa
Spillkråka
Revlummer</t>
        </is>
      </c>
      <c r="V9">
        <f>HYPERLINK("https://klasma.github.io/Logging_0561/artfynd/A 22410-2026 artfynd.xlsx", "A 22410-2026")</f>
        <v/>
      </c>
      <c r="W9">
        <f>HYPERLINK("https://klasma.github.io/Logging_0561/kartor/A 22410-2026 karta.png", "A 22410-2026")</f>
        <v/>
      </c>
      <c r="Y9">
        <f>HYPERLINK("https://klasma.github.io/Logging_0561/klagomål/A 22410-2026 FSC-klagomål.docx", "A 22410-2026")</f>
        <v/>
      </c>
      <c r="Z9">
        <f>HYPERLINK("https://klasma.github.io/Logging_0561/klagomålsmail/A 22410-2026 FSC-klagomål mail.docx", "A 22410-2026")</f>
        <v/>
      </c>
      <c r="AA9">
        <f>HYPERLINK("https://klasma.github.io/Logging_0561/tillsyn/A 22410-2026 tillsynsbegäran.docx", "A 22410-2026")</f>
        <v/>
      </c>
      <c r="AB9">
        <f>HYPERLINK("https://klasma.github.io/Logging_0561/tillsynsmail/A 22410-2026 tillsynsbegäran mail.docx", "A 22410-2026")</f>
        <v/>
      </c>
      <c r="AC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46216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s="2" t="inlineStr">
        <is>
          <t>Knärot
Raggbock
Dvärgbägarlav
Tallticka
Talltita
Ullticka
Vedskivlav
Bronshjon
Grovticka
Vedticka
Vågbandad barkbock
Spillkråka
Tjäder
Orre</t>
        </is>
      </c>
      <c r="V10">
        <f>HYPERLINK("https://klasma.github.io/Logging_0561/artfynd/A 5747-2024 artfynd.xlsx", "A 5747-2024")</f>
        <v/>
      </c>
      <c r="W10">
        <f>HYPERLINK("https://klasma.github.io/Logging_0561/kartor/A 5747-2024 karta.png", "A 5747-2024")</f>
        <v/>
      </c>
      <c r="X10">
        <f>HYPERLINK("https://klasma.github.io/Logging_0561/knärot/A 5747-2024 karta knärot.png", "A 5747-2024")</f>
        <v/>
      </c>
      <c r="Y10">
        <f>HYPERLINK("https://klasma.github.io/Logging_0561/klagomål/A 5747-2024 FSC-klagomål.docx", "A 5747-2024")</f>
        <v/>
      </c>
      <c r="Z10">
        <f>HYPERLINK("https://klasma.github.io/Logging_0561/klagomålsmail/A 5747-2024 FSC-klagomål mail.docx", "A 5747-2024")</f>
        <v/>
      </c>
      <c r="AA10">
        <f>HYPERLINK("https://klasma.github.io/Logging_0561/tillsyn/A 5747-2024 tillsynsbegäran.docx", "A 5747-2024")</f>
        <v/>
      </c>
      <c r="AB10">
        <f>HYPERLINK("https://klasma.github.io/Logging_0561/tillsynsmail/A 5747-2024 tillsynsbegäran mail.docx", "A 5747-2024")</f>
        <v/>
      </c>
      <c r="AC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46216</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s="2" t="inlineStr">
        <is>
          <t>Garnlav
Knärot
Rosenticka
Tallticka
Talltita
Ullticka
Vedtrappmossa
Blodticka
Grovticka
Grönpyrola
Mindre märgborre
Spillkråka
Tjäder</t>
        </is>
      </c>
      <c r="V11">
        <f>HYPERLINK("https://klasma.github.io/Logging_0561/artfynd/A 689-2026 artfynd.xlsx", "A 689-2026")</f>
        <v/>
      </c>
      <c r="W11">
        <f>HYPERLINK("https://klasma.github.io/Logging_0561/kartor/A 689-2026 karta.png", "A 689-2026")</f>
        <v/>
      </c>
      <c r="X11">
        <f>HYPERLINK("https://klasma.github.io/Logging_0561/knärot/A 689-2026 karta knärot.png", "A 689-2026")</f>
        <v/>
      </c>
      <c r="Y11">
        <f>HYPERLINK("https://klasma.github.io/Logging_0561/klagomål/A 689-2026 FSC-klagomål.docx", "A 689-2026")</f>
        <v/>
      </c>
      <c r="Z11">
        <f>HYPERLINK("https://klasma.github.io/Logging_0561/klagomålsmail/A 689-2026 FSC-klagomål mail.docx", "A 689-2026")</f>
        <v/>
      </c>
      <c r="AA11">
        <f>HYPERLINK("https://klasma.github.io/Logging_0561/tillsyn/A 689-2026 tillsynsbegäran.docx", "A 689-2026")</f>
        <v/>
      </c>
      <c r="AB11">
        <f>HYPERLINK("https://klasma.github.io/Logging_0561/tillsynsmail/A 689-2026 tillsynsbegäran mail.docx", "A 689-2026")</f>
        <v/>
      </c>
      <c r="AC11">
        <f>HYPERLINK("https://klasma.github.io/Logging_0561/fåglar/A 689-2026 prioriterade fågelarter.docx", "A 689-2026")</f>
        <v/>
      </c>
    </row>
    <row r="12" ht="15" customHeight="1">
      <c r="A12" t="inlineStr">
        <is>
          <t>A 38964-2021</t>
        </is>
      </c>
      <c r="B12" t="inlineStr">
        <is>
          <t>avverkningsanmälan</t>
        </is>
      </c>
      <c r="C12" t="inlineStr">
        <is>
          <t>Föryngringsavverkning</t>
        </is>
      </c>
      <c r="D12" s="1" t="n">
        <v>44411</v>
      </c>
      <c r="E12" s="1" t="n">
        <v>46216</v>
      </c>
      <c r="F12" t="inlineStr">
        <is>
          <t>ÖSTERGÖTLANDS LÄN</t>
        </is>
      </c>
      <c r="G12" t="inlineStr">
        <is>
          <t>ÅTVIDABERG</t>
        </is>
      </c>
      <c r="I12" t="n">
        <v>1.3</v>
      </c>
      <c r="J12" t="n">
        <v>13</v>
      </c>
      <c r="K12" t="n">
        <v>0</v>
      </c>
      <c r="L12" t="n">
        <v>6</v>
      </c>
      <c r="M12" t="n">
        <v>2</v>
      </c>
      <c r="N12" t="n">
        <v>0</v>
      </c>
      <c r="O12" t="n">
        <v>0</v>
      </c>
      <c r="P12" t="n">
        <v>1</v>
      </c>
      <c r="Q12" t="n">
        <v>9</v>
      </c>
      <c r="R12" t="n">
        <v>2</v>
      </c>
      <c r="S12" t="n">
        <v>13</v>
      </c>
      <c r="T12" t="n">
        <v>13</v>
      </c>
      <c r="U12" s="2" t="inlineStr">
        <is>
          <t>Härfågel
Grönfink
Tornseglare
Duvhök
Entita
Grönsångare
Gulsparv
Mindre hackspett
Sparvuggla
Gröngöling
Havsörn
Kråka
Kungsfågel</t>
        </is>
      </c>
      <c r="V12">
        <f>HYPERLINK("https://klasma.github.io/Logging_0561/artfynd/A 38964-2021 artfynd.xlsx", "A 38964-2021")</f>
        <v/>
      </c>
      <c r="W12">
        <f>HYPERLINK("https://klasma.github.io/Logging_0561/kartor/A 38964-2021 karta.png", "A 38964-2021")</f>
        <v/>
      </c>
      <c r="Y12">
        <f>HYPERLINK("https://klasma.github.io/Logging_0561/klagomål/A 38964-2021 FSC-klagomål.docx", "A 38964-2021")</f>
        <v/>
      </c>
      <c r="Z12">
        <f>HYPERLINK("https://klasma.github.io/Logging_0561/klagomålsmail/A 38964-2021 FSC-klagomål mail.docx", "A 38964-2021")</f>
        <v/>
      </c>
      <c r="AA12">
        <f>HYPERLINK("https://klasma.github.io/Logging_0561/tillsyn/A 38964-2021 tillsynsbegäran.docx", "A 38964-2021")</f>
        <v/>
      </c>
      <c r="AB12">
        <f>HYPERLINK("https://klasma.github.io/Logging_0561/tillsynsmail/A 38964-2021 tillsynsbegäran mail.docx", "A 38964-2021")</f>
        <v/>
      </c>
      <c r="AC12">
        <f>HYPERLINK("https://klasma.github.io/Logging_0561/fåglar/A 38964-2021 prioriterade fågelarter.docx", "A 38964-2021")</f>
        <v/>
      </c>
    </row>
    <row r="13" ht="15" customHeight="1">
      <c r="A13" t="inlineStr">
        <is>
          <t>S 1662-2026</t>
        </is>
      </c>
      <c r="B13" t="inlineStr">
        <is>
          <t>samrådsanmälan</t>
        </is>
      </c>
      <c r="C13" t="inlineStr">
        <is>
          <t>Annan skogsbruksåtgärd</t>
        </is>
      </c>
      <c r="D13" s="1" t="n">
        <v>46181</v>
      </c>
      <c r="E13" s="1" t="n">
        <v>46216</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46216</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s="2" t="inlineStr">
        <is>
          <t>Knärot
Dvärgbägarlav
Motaggsvamp
Nötkråka
Tallticka
Talltita
Ullticka
Blomkålssvamp
Grönpyrola
Kalktallört
Gröngöling</t>
        </is>
      </c>
      <c r="V14">
        <f>HYPERLINK("https://klasma.github.io/Logging_0561/artfynd/A 32058-2022 artfynd.xlsx", "A 32058-2022")</f>
        <v/>
      </c>
      <c r="W14">
        <f>HYPERLINK("https://klasma.github.io/Logging_0561/kartor/A 32058-2022 karta.png", "A 32058-2022")</f>
        <v/>
      </c>
      <c r="X14">
        <f>HYPERLINK("https://klasma.github.io/Logging_0561/knärot/A 32058-2022 karta knärot.png", "A 32058-2022")</f>
        <v/>
      </c>
      <c r="Y14">
        <f>HYPERLINK("https://klasma.github.io/Logging_0561/klagomål/A 32058-2022 FSC-klagomål.docx", "A 32058-2022")</f>
        <v/>
      </c>
      <c r="Z14">
        <f>HYPERLINK("https://klasma.github.io/Logging_0561/klagomålsmail/A 32058-2022 FSC-klagomål mail.docx", "A 32058-2022")</f>
        <v/>
      </c>
      <c r="AA14">
        <f>HYPERLINK("https://klasma.github.io/Logging_0561/tillsyn/A 32058-2022 tillsynsbegäran.docx", "A 32058-2022")</f>
        <v/>
      </c>
      <c r="AB14">
        <f>HYPERLINK("https://klasma.github.io/Logging_0561/tillsynsmail/A 32058-2022 tillsynsbegäran mail.docx", "A 32058-2022")</f>
        <v/>
      </c>
      <c r="AC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46216</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s="2" t="inlineStr">
        <is>
          <t>Entita
Grönsångare
Göktyta
Jungfrulin
Mindre hackspett
Tallticka
Björksplintborre
Mindre flugsnappare
Spillkråka
Kungsfågel
Svartvit flugsnappare</t>
        </is>
      </c>
      <c r="V15">
        <f>HYPERLINK("https://klasma.github.io/Logging_0561/artfynd/A 29384-2026 artfynd.xlsx", "A 29384-2026")</f>
        <v/>
      </c>
      <c r="W15">
        <f>HYPERLINK("https://klasma.github.io/Logging_0561/kartor/A 29384-2026 karta.png", "A 29384-2026")</f>
        <v/>
      </c>
      <c r="Y15">
        <f>HYPERLINK("https://klasma.github.io/Logging_0561/klagomål/A 29384-2026 FSC-klagomål.docx", "A 29384-2026")</f>
        <v/>
      </c>
      <c r="Z15">
        <f>HYPERLINK("https://klasma.github.io/Logging_0561/klagomålsmail/A 29384-2026 FSC-klagomål mail.docx", "A 29384-2026")</f>
        <v/>
      </c>
      <c r="AA15">
        <f>HYPERLINK("https://klasma.github.io/Logging_0561/tillsyn/A 29384-2026 tillsynsbegäran.docx", "A 29384-2026")</f>
        <v/>
      </c>
      <c r="AB15">
        <f>HYPERLINK("https://klasma.github.io/Logging_0561/tillsynsmail/A 29384-2026 tillsynsbegäran mail.docx", "A 29384-2026")</f>
        <v/>
      </c>
      <c r="AC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46216</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s="2" t="inlineStr">
        <is>
          <t>Knärot
Entita
Kådvaxskinn
Talltita
Ullticka
Vedtrappmossa
Barkticka
Brandticka
Blåsippa
Spillkråka</t>
        </is>
      </c>
      <c r="V16">
        <f>HYPERLINK("https://klasma.github.io/Logging_0561/artfynd/A 680-2026 artfynd.xlsx", "A 680-2026")</f>
        <v/>
      </c>
      <c r="W16">
        <f>HYPERLINK("https://klasma.github.io/Logging_0561/kartor/A 680-2026 karta.png", "A 680-2026")</f>
        <v/>
      </c>
      <c r="X16">
        <f>HYPERLINK("https://klasma.github.io/Logging_0561/knärot/A 680-2026 karta knärot.png", "A 680-2026")</f>
        <v/>
      </c>
      <c r="Y16">
        <f>HYPERLINK("https://klasma.github.io/Logging_0561/klagomål/A 680-2026 FSC-klagomål.docx", "A 680-2026")</f>
        <v/>
      </c>
      <c r="Z16">
        <f>HYPERLINK("https://klasma.github.io/Logging_0561/klagomålsmail/A 680-2026 FSC-klagomål mail.docx", "A 680-2026")</f>
        <v/>
      </c>
      <c r="AA16">
        <f>HYPERLINK("https://klasma.github.io/Logging_0561/tillsyn/A 680-2026 tillsynsbegäran.docx", "A 680-2026")</f>
        <v/>
      </c>
      <c r="AB16">
        <f>HYPERLINK("https://klasma.github.io/Logging_0561/tillsynsmail/A 680-2026 tillsynsbegäran mail.docx", "A 680-2026")</f>
        <v/>
      </c>
      <c r="AC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46216</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s="2" t="inlineStr">
        <is>
          <t>Grönfink
Knärot
Kattfotslav
Tallticka
Talltita
Björksplintborre
Blåmossa
Stor revmossa
Spillkråka
Revlummer</t>
        </is>
      </c>
      <c r="V17">
        <f>HYPERLINK("https://klasma.github.io/Logging_0561/artfynd/A 698-2026 artfynd.xlsx", "A 698-2026")</f>
        <v/>
      </c>
      <c r="W17">
        <f>HYPERLINK("https://klasma.github.io/Logging_0561/kartor/A 698-2026 karta.png", "A 698-2026")</f>
        <v/>
      </c>
      <c r="X17">
        <f>HYPERLINK("https://klasma.github.io/Logging_0561/knärot/A 698-2026 karta knärot.png", "A 698-2026")</f>
        <v/>
      </c>
      <c r="Y17">
        <f>HYPERLINK("https://klasma.github.io/Logging_0561/klagomål/A 698-2026 FSC-klagomål.docx", "A 698-2026")</f>
        <v/>
      </c>
      <c r="Z17">
        <f>HYPERLINK("https://klasma.github.io/Logging_0561/klagomålsmail/A 698-2026 FSC-klagomål mail.docx", "A 698-2026")</f>
        <v/>
      </c>
      <c r="AA17">
        <f>HYPERLINK("https://klasma.github.io/Logging_0561/tillsyn/A 698-2026 tillsynsbegäran.docx", "A 698-2026")</f>
        <v/>
      </c>
      <c r="AB17">
        <f>HYPERLINK("https://klasma.github.io/Logging_0561/tillsynsmail/A 698-2026 tillsynsbegäran mail.docx", "A 698-2026")</f>
        <v/>
      </c>
      <c r="AC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46216</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46216</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11593-2026</t>
        </is>
      </c>
      <c r="B20" t="inlineStr">
        <is>
          <t>avverkningsanmälan</t>
        </is>
      </c>
      <c r="C20" t="inlineStr">
        <is>
          <t>Föryngringsavverkning</t>
        </is>
      </c>
      <c r="D20" s="1" t="n">
        <v>46084</v>
      </c>
      <c r="E20" s="1" t="n">
        <v>46216</v>
      </c>
      <c r="F20" t="inlineStr">
        <is>
          <t>ÖSTERGÖTLANDS LÄN</t>
        </is>
      </c>
      <c r="G20" t="inlineStr">
        <is>
          <t>ÅTVIDABERG</t>
        </is>
      </c>
      <c r="H20" t="inlineStr">
        <is>
          <t>Holmen skog AB</t>
        </is>
      </c>
      <c r="I20" t="n">
        <v>1</v>
      </c>
      <c r="J20" t="n">
        <v>4</v>
      </c>
      <c r="K20" t="n">
        <v>1</v>
      </c>
      <c r="L20" t="n">
        <v>4</v>
      </c>
      <c r="M20" t="n">
        <v>1</v>
      </c>
      <c r="N20" t="n">
        <v>0</v>
      </c>
      <c r="O20" t="n">
        <v>0</v>
      </c>
      <c r="P20" t="n">
        <v>0</v>
      </c>
      <c r="Q20" t="n">
        <v>5</v>
      </c>
      <c r="R20" t="n">
        <v>1</v>
      </c>
      <c r="S20" t="n">
        <v>8</v>
      </c>
      <c r="T20" t="n">
        <v>10</v>
      </c>
      <c r="U20" s="2" t="inlineStr">
        <is>
          <t>Knärot
Hornvaxskinn
Kattfotslav
Sårläka
Talltita
Grovticka
Järpe
Spillkråka</t>
        </is>
      </c>
      <c r="V20">
        <f>HYPERLINK("https://klasma.github.io/Logging_0561/artfynd/A 11593-2026 artfynd.xlsx", "A 11593-2026")</f>
        <v/>
      </c>
      <c r="W20">
        <f>HYPERLINK("https://klasma.github.io/Logging_0561/kartor/A 11593-2026 karta.png", "A 11593-2026")</f>
        <v/>
      </c>
      <c r="X20">
        <f>HYPERLINK("https://klasma.github.io/Logging_0561/knärot/A 11593-2026 karta knärot.png", "A 11593-2026")</f>
        <v/>
      </c>
      <c r="Y20">
        <f>HYPERLINK("https://klasma.github.io/Logging_0561/klagomål/A 11593-2026 FSC-klagomål.docx", "A 11593-2026")</f>
        <v/>
      </c>
      <c r="Z20">
        <f>HYPERLINK("https://klasma.github.io/Logging_0561/klagomålsmail/A 11593-2026 FSC-klagomål mail.docx", "A 11593-2026")</f>
        <v/>
      </c>
      <c r="AA20">
        <f>HYPERLINK("https://klasma.github.io/Logging_0561/tillsyn/A 11593-2026 tillsynsbegäran.docx", "A 11593-2026")</f>
        <v/>
      </c>
      <c r="AB20">
        <f>HYPERLINK("https://klasma.github.io/Logging_0561/tillsynsmail/A 11593-2026 tillsynsbegäran mail.docx", "A 11593-2026")</f>
        <v/>
      </c>
      <c r="AC20">
        <f>HYPERLINK("https://klasma.github.io/Logging_0561/fåglar/A 11593-2026 prioriterade fågelarter.docx", "A 11593-2026")</f>
        <v/>
      </c>
    </row>
    <row r="21" ht="15" customHeight="1">
      <c r="A21" t="inlineStr">
        <is>
          <t>A 34707-2025</t>
        </is>
      </c>
      <c r="B21" t="inlineStr">
        <is>
          <t>avverkningsanmälan</t>
        </is>
      </c>
      <c r="C21" t="inlineStr">
        <is>
          <t>Föryngringsavverkning</t>
        </is>
      </c>
      <c r="D21" s="1" t="n">
        <v>45848</v>
      </c>
      <c r="E21" s="1" t="n">
        <v>46216</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s="2" t="inlineStr">
        <is>
          <t>Knärot
Motaggsvamp
Talltita
Grovticka
Grönpyrola
Stubbspretmossa
Spillkråka
Revlummer</t>
        </is>
      </c>
      <c r="V21">
        <f>HYPERLINK("https://klasma.github.io/Logging_0561/artfynd/A 34707-2025 artfynd.xlsx", "A 34707-2025")</f>
        <v/>
      </c>
      <c r="W21">
        <f>HYPERLINK("https://klasma.github.io/Logging_0561/kartor/A 34707-2025 karta.png", "A 34707-2025")</f>
        <v/>
      </c>
      <c r="X21">
        <f>HYPERLINK("https://klasma.github.io/Logging_0561/knärot/A 34707-2025 karta knärot.png", "A 34707-2025")</f>
        <v/>
      </c>
      <c r="Y21">
        <f>HYPERLINK("https://klasma.github.io/Logging_0561/klagomål/A 34707-2025 FSC-klagomål.docx", "A 34707-2025")</f>
        <v/>
      </c>
      <c r="Z21">
        <f>HYPERLINK("https://klasma.github.io/Logging_0561/klagomålsmail/A 34707-2025 FSC-klagomål mail.docx", "A 34707-2025")</f>
        <v/>
      </c>
      <c r="AA21">
        <f>HYPERLINK("https://klasma.github.io/Logging_0561/tillsyn/A 34707-2025 tillsynsbegäran.docx", "A 34707-2025")</f>
        <v/>
      </c>
      <c r="AB21">
        <f>HYPERLINK("https://klasma.github.io/Logging_0561/tillsynsmail/A 34707-2025 tillsynsbegäran mail.docx", "A 34707-2025")</f>
        <v/>
      </c>
      <c r="AC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46216</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s="2" t="inlineStr">
        <is>
          <t>Reliktbock
Talltita
Vedskivlav
Järpe
Spillkråka
Tjäder
Tofsmes
Trana</t>
        </is>
      </c>
      <c r="V22">
        <f>HYPERLINK("https://klasma.github.io/Logging_0561/artfynd/A 12068-2026 artfynd.xlsx", "A 12068-2026")</f>
        <v/>
      </c>
      <c r="W22">
        <f>HYPERLINK("https://klasma.github.io/Logging_0561/kartor/A 12068-2026 karta.png", "A 12068-2026")</f>
        <v/>
      </c>
      <c r="Y22">
        <f>HYPERLINK("https://klasma.github.io/Logging_0561/klagomål/A 12068-2026 FSC-klagomål.docx", "A 12068-2026")</f>
        <v/>
      </c>
      <c r="Z22">
        <f>HYPERLINK("https://klasma.github.io/Logging_0561/klagomålsmail/A 12068-2026 FSC-klagomål mail.docx", "A 12068-2026")</f>
        <v/>
      </c>
      <c r="AA22">
        <f>HYPERLINK("https://klasma.github.io/Logging_0561/tillsyn/A 12068-2026 tillsynsbegäran.docx", "A 12068-2026")</f>
        <v/>
      </c>
      <c r="AB22">
        <f>HYPERLINK("https://klasma.github.io/Logging_0561/tillsynsmail/A 12068-2026 tillsynsbegäran mail.docx", "A 12068-2026")</f>
        <v/>
      </c>
      <c r="AC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46216</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s="2" t="inlineStr">
        <is>
          <t>Kricka
Dvärghäxört
Grönpyrola
Korallrot
Stor aspticka
Sångsvan
Vanlig groda
Vanlig padda</t>
        </is>
      </c>
      <c r="V23">
        <f>HYPERLINK("https://klasma.github.io/Logging_0561/artfynd/A 21664-2025 artfynd.xlsx", "A 21664-2025")</f>
        <v/>
      </c>
      <c r="W23">
        <f>HYPERLINK("https://klasma.github.io/Logging_0561/kartor/A 21664-2025 karta.png", "A 21664-2025")</f>
        <v/>
      </c>
      <c r="Y23">
        <f>HYPERLINK("https://klasma.github.io/Logging_0561/klagomål/A 21664-2025 FSC-klagomål.docx", "A 21664-2025")</f>
        <v/>
      </c>
      <c r="Z23">
        <f>HYPERLINK("https://klasma.github.io/Logging_0561/klagomålsmail/A 21664-2025 FSC-klagomål mail.docx", "A 21664-2025")</f>
        <v/>
      </c>
      <c r="AA23">
        <f>HYPERLINK("https://klasma.github.io/Logging_0561/tillsyn/A 21664-2025 tillsynsbegäran.docx", "A 21664-2025")</f>
        <v/>
      </c>
      <c r="AB23">
        <f>HYPERLINK("https://klasma.github.io/Logging_0561/tillsynsmail/A 21664-2025 tillsynsbegäran mail.docx", "A 21664-2025")</f>
        <v/>
      </c>
      <c r="AC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46216</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46216</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46216</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s="2" t="inlineStr">
        <is>
          <t>Knärot
Talltita
Blåmossa
Järpe
Nattskärra
Spillkråka
Revlummer</t>
        </is>
      </c>
      <c r="V26">
        <f>HYPERLINK("https://klasma.github.io/Logging_0561/artfynd/A 3380-2023 artfynd.xlsx", "A 3380-2023")</f>
        <v/>
      </c>
      <c r="W26">
        <f>HYPERLINK("https://klasma.github.io/Logging_0561/kartor/A 3380-2023 karta.png", "A 3380-2023")</f>
        <v/>
      </c>
      <c r="X26">
        <f>HYPERLINK("https://klasma.github.io/Logging_0561/knärot/A 3380-2023 karta knärot.png", "A 3380-2023")</f>
        <v/>
      </c>
      <c r="Y26">
        <f>HYPERLINK("https://klasma.github.io/Logging_0561/klagomål/A 3380-2023 FSC-klagomål.docx", "A 3380-2023")</f>
        <v/>
      </c>
      <c r="Z26">
        <f>HYPERLINK("https://klasma.github.io/Logging_0561/klagomålsmail/A 3380-2023 FSC-klagomål mail.docx", "A 3380-2023")</f>
        <v/>
      </c>
      <c r="AA26">
        <f>HYPERLINK("https://klasma.github.io/Logging_0561/tillsyn/A 3380-2023 tillsynsbegäran.docx", "A 3380-2023")</f>
        <v/>
      </c>
      <c r="AB26">
        <f>HYPERLINK("https://klasma.github.io/Logging_0561/tillsynsmail/A 3380-2023 tillsynsbegäran mail.docx", "A 3380-2023")</f>
        <v/>
      </c>
      <c r="AC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46216</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s="2" t="inlineStr">
        <is>
          <t>Knärot
Dvärgbägarlav
Tallticka
Vedskivlav
Blåmossa
Mindre märgborre
Spillkråka</t>
        </is>
      </c>
      <c r="V27">
        <f>HYPERLINK("https://klasma.github.io/Logging_0561/artfynd/A 11738-2026 artfynd.xlsx", "A 11738-2026")</f>
        <v/>
      </c>
      <c r="W27">
        <f>HYPERLINK("https://klasma.github.io/Logging_0561/kartor/A 11738-2026 karta.png", "A 11738-2026")</f>
        <v/>
      </c>
      <c r="X27">
        <f>HYPERLINK("https://klasma.github.io/Logging_0561/knärot/A 11738-2026 karta knärot.png", "A 11738-2026")</f>
        <v/>
      </c>
      <c r="Y27">
        <f>HYPERLINK("https://klasma.github.io/Logging_0561/klagomål/A 11738-2026 FSC-klagomål.docx", "A 11738-2026")</f>
        <v/>
      </c>
      <c r="Z27">
        <f>HYPERLINK("https://klasma.github.io/Logging_0561/klagomålsmail/A 11738-2026 FSC-klagomål mail.docx", "A 11738-2026")</f>
        <v/>
      </c>
      <c r="AA27">
        <f>HYPERLINK("https://klasma.github.io/Logging_0561/tillsyn/A 11738-2026 tillsynsbegäran.docx", "A 11738-2026")</f>
        <v/>
      </c>
      <c r="AB27">
        <f>HYPERLINK("https://klasma.github.io/Logging_0561/tillsynsmail/A 11738-2026 tillsynsbegäran mail.docx", "A 11738-2026")</f>
        <v/>
      </c>
      <c r="AC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46216</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s="2" t="inlineStr">
        <is>
          <t>Knärot
Björksplintborre
Grönpyrola
Svart trolldruva
Blåsippa
Ormbär
Spillkråka</t>
        </is>
      </c>
      <c r="V28">
        <f>HYPERLINK("https://klasma.github.io/Logging_0561/artfynd/A 22412-2026 artfynd.xlsx", "A 22412-2026")</f>
        <v/>
      </c>
      <c r="W28">
        <f>HYPERLINK("https://klasma.github.io/Logging_0561/kartor/A 22412-2026 karta.png", "A 22412-2026")</f>
        <v/>
      </c>
      <c r="X28">
        <f>HYPERLINK("https://klasma.github.io/Logging_0561/knärot/A 22412-2026 karta knärot.png", "A 22412-2026")</f>
        <v/>
      </c>
      <c r="Y28">
        <f>HYPERLINK("https://klasma.github.io/Logging_0561/klagomål/A 22412-2026 FSC-klagomål.docx", "A 22412-2026")</f>
        <v/>
      </c>
      <c r="Z28">
        <f>HYPERLINK("https://klasma.github.io/Logging_0561/klagomålsmail/A 22412-2026 FSC-klagomål mail.docx", "A 22412-2026")</f>
        <v/>
      </c>
      <c r="AA28">
        <f>HYPERLINK("https://klasma.github.io/Logging_0561/tillsyn/A 22412-2026 tillsynsbegäran.docx", "A 22412-2026")</f>
        <v/>
      </c>
      <c r="AB28">
        <f>HYPERLINK("https://klasma.github.io/Logging_0561/tillsynsmail/A 22412-2026 tillsynsbegäran mail.docx", "A 22412-2026")</f>
        <v/>
      </c>
      <c r="AC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46216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s="2" t="inlineStr">
        <is>
          <t>Garnlav
Knärot
Tallticka
Talltita
Vedskivlav
Bronshjon
Spillkråka</t>
        </is>
      </c>
      <c r="V29">
        <f>HYPERLINK("https://klasma.github.io/Logging_0561/artfynd/A 614-2024 artfynd.xlsx", "A 614-2024")</f>
        <v/>
      </c>
      <c r="W29">
        <f>HYPERLINK("https://klasma.github.io/Logging_0561/kartor/A 614-2024 karta.png", "A 614-2024")</f>
        <v/>
      </c>
      <c r="X29">
        <f>HYPERLINK("https://klasma.github.io/Logging_0561/knärot/A 614-2024 karta knärot.png", "A 614-2024")</f>
        <v/>
      </c>
      <c r="Y29">
        <f>HYPERLINK("https://klasma.github.io/Logging_0561/klagomål/A 614-2024 FSC-klagomål.docx", "A 614-2024")</f>
        <v/>
      </c>
      <c r="Z29">
        <f>HYPERLINK("https://klasma.github.io/Logging_0561/klagomålsmail/A 614-2024 FSC-klagomål mail.docx", "A 614-2024")</f>
        <v/>
      </c>
      <c r="AA29">
        <f>HYPERLINK("https://klasma.github.io/Logging_0561/tillsyn/A 614-2024 tillsynsbegäran.docx", "A 614-2024")</f>
        <v/>
      </c>
      <c r="AB29">
        <f>HYPERLINK("https://klasma.github.io/Logging_0561/tillsynsmail/A 614-2024 tillsynsbegäran mail.docx", "A 614-2024")</f>
        <v/>
      </c>
      <c r="AC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46216</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46216</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46216</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46216</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HYPERLINK("https://klasma.github.io/Logging_0561/knärot/A 44819-2022 karta knärot.png", "A 44819-2022")</f>
        <v/>
      </c>
      <c r="Y33">
        <f>HYPERLINK("https://klasma.github.io/Logging_0561/klagomål/A 44819-2022 FSC-klagomål.docx", "A 44819-2022")</f>
        <v/>
      </c>
      <c r="Z33">
        <f>HYPERLINK("https://klasma.github.io/Logging_0561/klagomålsmail/A 44819-2022 FSC-klagomål mail.docx", "A 44819-2022")</f>
        <v/>
      </c>
      <c r="AA33">
        <f>HYPERLINK("https://klasma.github.io/Logging_0561/tillsyn/A 44819-2022 tillsynsbegäran.docx", "A 44819-2022")</f>
        <v/>
      </c>
      <c r="AB33">
        <f>HYPERLINK("https://klasma.github.io/Logging_0561/tillsynsmail/A 44819-2022 tillsynsbegäran mail.docx", "A 44819-2022")</f>
        <v/>
      </c>
      <c r="AC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46216</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s="2" t="inlineStr">
        <is>
          <t>Dammfladdermus
Talltita
Ullticka
Järpe
Spillkråka</t>
        </is>
      </c>
      <c r="V34">
        <f>HYPERLINK("https://klasma.github.io/Logging_0561/artfynd/A 37278-2023 artfynd.xlsx", "A 37278-2023")</f>
        <v/>
      </c>
      <c r="W34">
        <f>HYPERLINK("https://klasma.github.io/Logging_0561/kartor/A 37278-2023 karta.png", "A 37278-2023")</f>
        <v/>
      </c>
      <c r="X34">
        <f>HYPERLINK("https://klasma.github.io/Logging_0561/knärot/A 37278-2023 karta knärot.png", "A 37278-2023")</f>
        <v/>
      </c>
      <c r="Y34">
        <f>HYPERLINK("https://klasma.github.io/Logging_0561/klagomål/A 37278-2023 FSC-klagomål.docx", "A 37278-2023")</f>
        <v/>
      </c>
      <c r="Z34">
        <f>HYPERLINK("https://klasma.github.io/Logging_0561/klagomålsmail/A 37278-2023 FSC-klagomål mail.docx", "A 37278-2023")</f>
        <v/>
      </c>
      <c r="AA34">
        <f>HYPERLINK("https://klasma.github.io/Logging_0561/tillsyn/A 37278-2023 tillsynsbegäran.docx", "A 37278-2023")</f>
        <v/>
      </c>
      <c r="AB34">
        <f>HYPERLINK("https://klasma.github.io/Logging_0561/tillsynsmail/A 37278-2023 tillsynsbegäran mail.docx", "A 37278-2023")</f>
        <v/>
      </c>
      <c r="AC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46216</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s="2" t="inlineStr">
        <is>
          <t>Skogstrappmossa
Tallticka
Tjockfotad fingersvamp
Ullticka
Blåsippa</t>
        </is>
      </c>
      <c r="V35">
        <f>HYPERLINK("https://klasma.github.io/Logging_0561/artfynd/A 50496-2021 artfynd.xlsx", "A 50496-2021")</f>
        <v/>
      </c>
      <c r="W35">
        <f>HYPERLINK("https://klasma.github.io/Logging_0561/kartor/A 50496-2021 karta.png", "A 50496-2021")</f>
        <v/>
      </c>
      <c r="Y35">
        <f>HYPERLINK("https://klasma.github.io/Logging_0561/klagomål/A 50496-2021 FSC-klagomål.docx", "A 50496-2021")</f>
        <v/>
      </c>
      <c r="Z35">
        <f>HYPERLINK("https://klasma.github.io/Logging_0561/klagomålsmail/A 50496-2021 FSC-klagomål mail.docx", "A 50496-2021")</f>
        <v/>
      </c>
      <c r="AA35">
        <f>HYPERLINK("https://klasma.github.io/Logging_0561/tillsyn/A 50496-2021 tillsynsbegäran.docx", "A 50496-2021")</f>
        <v/>
      </c>
      <c r="AB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46216</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s="2" t="inlineStr">
        <is>
          <t>Gullpudra
Grön sköldmossa
Korallrot
Stubbspretmossa
Tibast</t>
        </is>
      </c>
      <c r="V36">
        <f>HYPERLINK("https://klasma.github.io/Logging_0561/artfynd/A 40422-2022 artfynd.xlsx", "A 40422-2022")</f>
        <v/>
      </c>
      <c r="W36">
        <f>HYPERLINK("https://klasma.github.io/Logging_0561/kartor/A 40422-2022 karta.png", "A 40422-2022")</f>
        <v/>
      </c>
      <c r="Y36">
        <f>HYPERLINK("https://klasma.github.io/Logging_0561/klagomål/A 40422-2022 FSC-klagomål.docx", "A 40422-2022")</f>
        <v/>
      </c>
      <c r="Z36">
        <f>HYPERLINK("https://klasma.github.io/Logging_0561/klagomålsmail/A 40422-2022 FSC-klagomål mail.docx", "A 40422-2022")</f>
        <v/>
      </c>
      <c r="AA36">
        <f>HYPERLINK("https://klasma.github.io/Logging_0561/tillsyn/A 40422-2022 tillsynsbegäran.docx", "A 40422-2022")</f>
        <v/>
      </c>
      <c r="AB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46216</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s="2" t="inlineStr">
        <is>
          <t>Knärot
Hängticka
Ullticka
Vågticka
Spillkråka</t>
        </is>
      </c>
      <c r="V37">
        <f>HYPERLINK("https://klasma.github.io/Logging_0561/artfynd/A 37283-2023 artfynd.xlsx", "A 37283-2023")</f>
        <v/>
      </c>
      <c r="W37">
        <f>HYPERLINK("https://klasma.github.io/Logging_0561/kartor/A 37283-2023 karta.png", "A 37283-2023")</f>
        <v/>
      </c>
      <c r="X37">
        <f>HYPERLINK("https://klasma.github.io/Logging_0561/knärot/A 37283-2023 karta knärot.png", "A 37283-2023")</f>
        <v/>
      </c>
      <c r="Y37">
        <f>HYPERLINK("https://klasma.github.io/Logging_0561/klagomål/A 37283-2023 FSC-klagomål.docx", "A 37283-2023")</f>
        <v/>
      </c>
      <c r="Z37">
        <f>HYPERLINK("https://klasma.github.io/Logging_0561/klagomålsmail/A 37283-2023 FSC-klagomål mail.docx", "A 37283-2023")</f>
        <v/>
      </c>
      <c r="AA37">
        <f>HYPERLINK("https://klasma.github.io/Logging_0561/tillsyn/A 37283-2023 tillsynsbegäran.docx", "A 37283-2023")</f>
        <v/>
      </c>
      <c r="AB37">
        <f>HYPERLINK("https://klasma.github.io/Logging_0561/tillsynsmail/A 37283-2023 tillsynsbegäran mail.docx", "A 37283-2023")</f>
        <v/>
      </c>
      <c r="AC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46216</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s="2" t="inlineStr">
        <is>
          <t>Entita
Kattfotslav
Rynkskinn
Tallticka
Spillkråka</t>
        </is>
      </c>
      <c r="V38">
        <f>HYPERLINK("https://klasma.github.io/Logging_0561/artfynd/A 4089-2023 artfynd.xlsx", "A 4089-2023")</f>
        <v/>
      </c>
      <c r="W38">
        <f>HYPERLINK("https://klasma.github.io/Logging_0561/kartor/A 4089-2023 karta.png", "A 4089-2023")</f>
        <v/>
      </c>
      <c r="Y38">
        <f>HYPERLINK("https://klasma.github.io/Logging_0561/klagomål/A 4089-2023 FSC-klagomål.docx", "A 4089-2023")</f>
        <v/>
      </c>
      <c r="Z38">
        <f>HYPERLINK("https://klasma.github.io/Logging_0561/klagomålsmail/A 4089-2023 FSC-klagomål mail.docx", "A 4089-2023")</f>
        <v/>
      </c>
      <c r="AA38">
        <f>HYPERLINK("https://klasma.github.io/Logging_0561/tillsyn/A 4089-2023 tillsynsbegäran.docx", "A 4089-2023")</f>
        <v/>
      </c>
      <c r="AB38">
        <f>HYPERLINK("https://klasma.github.io/Logging_0561/tillsynsmail/A 4089-2023 tillsynsbegäran mail.docx", "A 4089-2023")</f>
        <v/>
      </c>
      <c r="AC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46216</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46216</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s="2" t="inlineStr">
        <is>
          <t>Knärot
Hornvaxskinn
Sårläka
Spillkråka</t>
        </is>
      </c>
      <c r="V40">
        <f>HYPERLINK("https://klasma.github.io/Logging_0561/artfynd/A 11728-2026 artfynd.xlsx", "A 11728-2026")</f>
        <v/>
      </c>
      <c r="W40">
        <f>HYPERLINK("https://klasma.github.io/Logging_0561/kartor/A 11728-2026 karta.png", "A 11728-2026")</f>
        <v/>
      </c>
      <c r="X40">
        <f>HYPERLINK("https://klasma.github.io/Logging_0561/knärot/A 11728-2026 karta knärot.png", "A 11728-2026")</f>
        <v/>
      </c>
      <c r="Y40">
        <f>HYPERLINK("https://klasma.github.io/Logging_0561/klagomål/A 11728-2026 FSC-klagomål.docx", "A 11728-2026")</f>
        <v/>
      </c>
      <c r="Z40">
        <f>HYPERLINK("https://klasma.github.io/Logging_0561/klagomålsmail/A 11728-2026 FSC-klagomål mail.docx", "A 11728-2026")</f>
        <v/>
      </c>
      <c r="AA40">
        <f>HYPERLINK("https://klasma.github.io/Logging_0561/tillsyn/A 11728-2026 tillsynsbegäran.docx", "A 11728-2026")</f>
        <v/>
      </c>
      <c r="AB40">
        <f>HYPERLINK("https://klasma.github.io/Logging_0561/tillsynsmail/A 11728-2026 tillsynsbegäran mail.docx", "A 11728-2026")</f>
        <v/>
      </c>
      <c r="AC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46216</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s="2" t="inlineStr">
        <is>
          <t>Knärot
Tallticka
Vedtrappmossa
Spillkråka</t>
        </is>
      </c>
      <c r="V41">
        <f>HYPERLINK("https://klasma.github.io/Logging_0561/artfynd/A 32057-2022 artfynd.xlsx", "A 32057-2022")</f>
        <v/>
      </c>
      <c r="W41">
        <f>HYPERLINK("https://klasma.github.io/Logging_0561/kartor/A 32057-2022 karta.png", "A 32057-2022")</f>
        <v/>
      </c>
      <c r="X41">
        <f>HYPERLINK("https://klasma.github.io/Logging_0561/knärot/A 32057-2022 karta knärot.png", "A 32057-2022")</f>
        <v/>
      </c>
      <c r="Y41">
        <f>HYPERLINK("https://klasma.github.io/Logging_0561/klagomål/A 32057-2022 FSC-klagomål.docx", "A 32057-2022")</f>
        <v/>
      </c>
      <c r="Z41">
        <f>HYPERLINK("https://klasma.github.io/Logging_0561/klagomålsmail/A 32057-2022 FSC-klagomål mail.docx", "A 32057-2022")</f>
        <v/>
      </c>
      <c r="AA41">
        <f>HYPERLINK("https://klasma.github.io/Logging_0561/tillsyn/A 32057-2022 tillsynsbegäran.docx", "A 32057-2022")</f>
        <v/>
      </c>
      <c r="AB41">
        <f>HYPERLINK("https://klasma.github.io/Logging_0561/tillsynsmail/A 32057-2022 tillsynsbegäran mail.docx", "A 32057-2022")</f>
        <v/>
      </c>
      <c r="AC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46216</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46216</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s="2" t="inlineStr">
        <is>
          <t>Dvärgbägarlav
Vedskivlav
Blåmossa</t>
        </is>
      </c>
      <c r="V43">
        <f>HYPERLINK("https://klasma.github.io/Logging_0561/artfynd/A 60510-2023 artfynd.xlsx", "A 60510-2023")</f>
        <v/>
      </c>
      <c r="W43">
        <f>HYPERLINK("https://klasma.github.io/Logging_0561/kartor/A 60510-2023 karta.png", "A 60510-2023")</f>
        <v/>
      </c>
      <c r="Y43">
        <f>HYPERLINK("https://klasma.github.io/Logging_0561/klagomål/A 60510-2023 FSC-klagomål.docx", "A 60510-2023")</f>
        <v/>
      </c>
      <c r="Z43">
        <f>HYPERLINK("https://klasma.github.io/Logging_0561/klagomålsmail/A 60510-2023 FSC-klagomål mail.docx", "A 60510-2023")</f>
        <v/>
      </c>
      <c r="AA43">
        <f>HYPERLINK("https://klasma.github.io/Logging_0561/tillsyn/A 60510-2023 tillsynsbegäran.docx", "A 60510-2023")</f>
        <v/>
      </c>
      <c r="AB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46216</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s="2" t="inlineStr">
        <is>
          <t>Apelsinticka
Hängticka
Reliktbock</t>
        </is>
      </c>
      <c r="V44">
        <f>HYPERLINK("https://klasma.github.io/Logging_0561/artfynd/A 6220-2023 artfynd.xlsx", "A 6220-2023")</f>
        <v/>
      </c>
      <c r="W44">
        <f>HYPERLINK("https://klasma.github.io/Logging_0561/kartor/A 6220-2023 karta.png", "A 6220-2023")</f>
        <v/>
      </c>
      <c r="Y44">
        <f>HYPERLINK("https://klasma.github.io/Logging_0561/klagomål/A 6220-2023 FSC-klagomål.docx", "A 6220-2023")</f>
        <v/>
      </c>
      <c r="Z44">
        <f>HYPERLINK("https://klasma.github.io/Logging_0561/klagomålsmail/A 6220-2023 FSC-klagomål mail.docx", "A 6220-2023")</f>
        <v/>
      </c>
      <c r="AA44">
        <f>HYPERLINK("https://klasma.github.io/Logging_0561/tillsyn/A 6220-2023 tillsynsbegäran.docx", "A 6220-2023")</f>
        <v/>
      </c>
      <c r="AB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46216</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s="2" t="inlineStr">
        <is>
          <t>Dunmossa
Grynig filtlav
Ullticka</t>
        </is>
      </c>
      <c r="V45">
        <f>HYPERLINK("https://klasma.github.io/Logging_0561/artfynd/A 33718-2022 artfynd.xlsx", "A 33718-2022")</f>
        <v/>
      </c>
      <c r="W45">
        <f>HYPERLINK("https://klasma.github.io/Logging_0561/kartor/A 33718-2022 karta.png", "A 33718-2022")</f>
        <v/>
      </c>
      <c r="Y45">
        <f>HYPERLINK("https://klasma.github.io/Logging_0561/klagomål/A 33718-2022 FSC-klagomål.docx", "A 33718-2022")</f>
        <v/>
      </c>
      <c r="Z45">
        <f>HYPERLINK("https://klasma.github.io/Logging_0561/klagomålsmail/A 33718-2022 FSC-klagomål mail.docx", "A 33718-2022")</f>
        <v/>
      </c>
      <c r="AA45">
        <f>HYPERLINK("https://klasma.github.io/Logging_0561/tillsyn/A 33718-2022 tillsynsbegäran.docx", "A 33718-2022")</f>
        <v/>
      </c>
      <c r="AB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46216</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46216</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46216</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s="2" t="inlineStr">
        <is>
          <t>Skogsbräsma
Havsörn</t>
        </is>
      </c>
      <c r="V48">
        <f>HYPERLINK("https://klasma.github.io/Logging_0561/artfynd/A 53205-2022 artfynd.xlsx", "A 53205-2022")</f>
        <v/>
      </c>
      <c r="W48">
        <f>HYPERLINK("https://klasma.github.io/Logging_0561/kartor/A 53205-2022 karta.png", "A 53205-2022")</f>
        <v/>
      </c>
      <c r="Y48">
        <f>HYPERLINK("https://klasma.github.io/Logging_0561/klagomål/A 53205-2022 FSC-klagomål.docx", "A 53205-2022")</f>
        <v/>
      </c>
      <c r="Z48">
        <f>HYPERLINK("https://klasma.github.io/Logging_0561/klagomålsmail/A 53205-2022 FSC-klagomål mail.docx", "A 53205-2022")</f>
        <v/>
      </c>
      <c r="AA48">
        <f>HYPERLINK("https://klasma.github.io/Logging_0561/tillsyn/A 53205-2022 tillsynsbegäran.docx", "A 53205-2022")</f>
        <v/>
      </c>
      <c r="AB48">
        <f>HYPERLINK("https://klasma.github.io/Logging_0561/tillsynsmail/A 53205-2022 tillsynsbegäran mail.docx", "A 53205-2022")</f>
        <v/>
      </c>
      <c r="AC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46216</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s="2" t="inlineStr">
        <is>
          <t>Dvärghäxört
Springkorn</t>
        </is>
      </c>
      <c r="V49">
        <f>HYPERLINK("https://klasma.github.io/Logging_0561/artfynd/A 11501-2022 artfynd.xlsx", "A 11501-2022")</f>
        <v/>
      </c>
      <c r="W49">
        <f>HYPERLINK("https://klasma.github.io/Logging_0561/kartor/A 11501-2022 karta.png", "A 11501-2022")</f>
        <v/>
      </c>
      <c r="Y49">
        <f>HYPERLINK("https://klasma.github.io/Logging_0561/klagomål/A 11501-2022 FSC-klagomål.docx", "A 11501-2022")</f>
        <v/>
      </c>
      <c r="Z49">
        <f>HYPERLINK("https://klasma.github.io/Logging_0561/klagomålsmail/A 11501-2022 FSC-klagomål mail.docx", "A 11501-2022")</f>
        <v/>
      </c>
      <c r="AA49">
        <f>HYPERLINK("https://klasma.github.io/Logging_0561/tillsyn/A 11501-2022 tillsynsbegäran.docx", "A 11501-2022")</f>
        <v/>
      </c>
      <c r="AB49">
        <f>HYPERLINK("https://klasma.github.io/Logging_0561/tillsynsmail/A 11501-2022 tillsynsbegäran mail.docx", "A 11501-2022")</f>
        <v/>
      </c>
    </row>
    <row r="50" ht="15" customHeight="1">
      <c r="A50" t="inlineStr">
        <is>
          <t>A 40626-2025</t>
        </is>
      </c>
      <c r="B50" t="inlineStr">
        <is>
          <t>avverkningsanmälan</t>
        </is>
      </c>
      <c r="C50" t="inlineStr">
        <is>
          <t>Föryngringsavverkning</t>
        </is>
      </c>
      <c r="D50" s="1" t="n">
        <v>45896</v>
      </c>
      <c r="E50" s="1" t="n">
        <v>46216</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s="2" t="inlineStr">
        <is>
          <t>Fällmossa
Platt fjädermossa</t>
        </is>
      </c>
      <c r="V50">
        <f>HYPERLINK("https://klasma.github.io/Logging_0561/artfynd/A 40626-2025 artfynd.xlsx", "A 40626-2025")</f>
        <v/>
      </c>
      <c r="W50">
        <f>HYPERLINK("https://klasma.github.io/Logging_0561/kartor/A 40626-2025 karta.png", "A 40626-2025")</f>
        <v/>
      </c>
      <c r="Y50">
        <f>HYPERLINK("https://klasma.github.io/Logging_0561/klagomål/A 40626-2025 FSC-klagomål.docx", "A 40626-2025")</f>
        <v/>
      </c>
      <c r="Z50">
        <f>HYPERLINK("https://klasma.github.io/Logging_0561/klagomålsmail/A 40626-2025 FSC-klagomål mail.docx", "A 40626-2025")</f>
        <v/>
      </c>
      <c r="AA50">
        <f>HYPERLINK("https://klasma.github.io/Logging_0561/tillsyn/A 40626-2025 tillsynsbegäran.docx", "A 40626-2025")</f>
        <v/>
      </c>
      <c r="AB50">
        <f>HYPERLINK("https://klasma.github.io/Logging_0561/tillsynsmail/A 40626-2025 tillsynsbegäran mail.docx", "A 40626-2025")</f>
        <v/>
      </c>
    </row>
    <row r="51" ht="15" customHeight="1">
      <c r="A51" t="inlineStr">
        <is>
          <t>A 63433-2023</t>
        </is>
      </c>
      <c r="B51" t="inlineStr">
        <is>
          <t>avverkningsanmälan</t>
        </is>
      </c>
      <c r="C51" t="inlineStr">
        <is>
          <t>Föryngringsavverkning</t>
        </is>
      </c>
      <c r="D51" s="1" t="n">
        <v>45274</v>
      </c>
      <c r="E51" s="1" t="n">
        <v>46216</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s="2" t="inlineStr">
        <is>
          <t>Jungfrulin
Grönvit nattviol</t>
        </is>
      </c>
      <c r="V51">
        <f>HYPERLINK("https://klasma.github.io/Logging_0561/artfynd/A 63433-2023 artfynd.xlsx", "A 63433-2023")</f>
        <v/>
      </c>
      <c r="W51">
        <f>HYPERLINK("https://klasma.github.io/Logging_0561/kartor/A 63433-2023 karta.png", "A 63433-2023")</f>
        <v/>
      </c>
      <c r="Y51">
        <f>HYPERLINK("https://klasma.github.io/Logging_0561/klagomål/A 63433-2023 FSC-klagomål.docx", "A 63433-2023")</f>
        <v/>
      </c>
      <c r="Z51">
        <f>HYPERLINK("https://klasma.github.io/Logging_0561/klagomålsmail/A 63433-2023 FSC-klagomål mail.docx", "A 63433-2023")</f>
        <v/>
      </c>
      <c r="AA51">
        <f>HYPERLINK("https://klasma.github.io/Logging_0561/tillsyn/A 63433-2023 tillsynsbegäran.docx", "A 63433-2023")</f>
        <v/>
      </c>
      <c r="AB51">
        <f>HYPERLINK("https://klasma.github.io/Logging_0561/tillsynsmail/A 63433-2023 tillsynsbegäran mail.docx", "A 63433-2023")</f>
        <v/>
      </c>
    </row>
    <row r="52" ht="15" customHeight="1">
      <c r="A52" t="inlineStr">
        <is>
          <t>A 49658-2025</t>
        </is>
      </c>
      <c r="B52" t="inlineStr">
        <is>
          <t>avverkningsanmälan</t>
        </is>
      </c>
      <c r="C52" t="inlineStr">
        <is>
          <t>Föryngringsavverkning</t>
        </is>
      </c>
      <c r="D52" s="1" t="n">
        <v>45938</v>
      </c>
      <c r="E52" s="1" t="n">
        <v>46216</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s="2" t="inlineStr">
        <is>
          <t>Gul dropplav
Brun nållav</t>
        </is>
      </c>
      <c r="V52">
        <f>HYPERLINK("https://klasma.github.io/Logging_0561/artfynd/A 49658-2025 artfynd.xlsx", "A 49658-2025")</f>
        <v/>
      </c>
      <c r="W52">
        <f>HYPERLINK("https://klasma.github.io/Logging_0561/kartor/A 49658-2025 karta.png", "A 49658-2025")</f>
        <v/>
      </c>
      <c r="Y52">
        <f>HYPERLINK("https://klasma.github.io/Logging_0561/klagomål/A 49658-2025 FSC-klagomål.docx", "A 49658-2025")</f>
        <v/>
      </c>
      <c r="Z52">
        <f>HYPERLINK("https://klasma.github.io/Logging_0561/klagomålsmail/A 49658-2025 FSC-klagomål mail.docx", "A 49658-2025")</f>
        <v/>
      </c>
      <c r="AA52">
        <f>HYPERLINK("https://klasma.github.io/Logging_0561/tillsyn/A 49658-2025 tillsynsbegäran.docx", "A 49658-2025")</f>
        <v/>
      </c>
      <c r="AB52">
        <f>HYPERLINK("https://klasma.github.io/Logging_0561/tillsynsmail/A 49658-2025 tillsynsbegäran mail.docx", "A 49658-2025")</f>
        <v/>
      </c>
    </row>
    <row r="53" ht="15" customHeight="1">
      <c r="A53" t="inlineStr">
        <is>
          <t>A 33570-2023</t>
        </is>
      </c>
      <c r="B53" t="inlineStr">
        <is>
          <t>avverkningsanmälan</t>
        </is>
      </c>
      <c r="C53" t="inlineStr">
        <is>
          <t>Föryngringsavverkning</t>
        </is>
      </c>
      <c r="D53" s="1" t="n">
        <v>45131</v>
      </c>
      <c r="E53" s="1" t="n">
        <v>46216</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s="2" t="inlineStr">
        <is>
          <t>Hypebaeus flavipes
Läderbagge</t>
        </is>
      </c>
      <c r="V53">
        <f>HYPERLINK("https://klasma.github.io/Logging_0561/artfynd/A 33570-2023 artfynd.xlsx", "A 33570-2023")</f>
        <v/>
      </c>
      <c r="W53">
        <f>HYPERLINK("https://klasma.github.io/Logging_0561/kartor/A 33570-2023 karta.png", "A 33570-2023")</f>
        <v/>
      </c>
      <c r="Y53">
        <f>HYPERLINK("https://klasma.github.io/Logging_0561/klagomål/A 33570-2023 FSC-klagomål.docx", "A 33570-2023")</f>
        <v/>
      </c>
      <c r="Z53">
        <f>HYPERLINK("https://klasma.github.io/Logging_0561/klagomålsmail/A 33570-2023 FSC-klagomål mail.docx", "A 33570-2023")</f>
        <v/>
      </c>
      <c r="AA53">
        <f>HYPERLINK("https://klasma.github.io/Logging_0561/tillsyn/A 33570-2023 tillsynsbegäran.docx", "A 33570-2023")</f>
        <v/>
      </c>
      <c r="AB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46216</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s="2" t="inlineStr">
        <is>
          <t>Tallticka
Ullticka</t>
        </is>
      </c>
      <c r="V54">
        <f>HYPERLINK("https://klasma.github.io/Logging_0561/artfynd/A 31953-2022 artfynd.xlsx", "A 31953-2022")</f>
        <v/>
      </c>
      <c r="W54">
        <f>HYPERLINK("https://klasma.github.io/Logging_0561/kartor/A 31953-2022 karta.png", "A 31953-2022")</f>
        <v/>
      </c>
      <c r="Y54">
        <f>HYPERLINK("https://klasma.github.io/Logging_0561/klagomål/A 31953-2022 FSC-klagomål.docx", "A 31953-2022")</f>
        <v/>
      </c>
      <c r="Z54">
        <f>HYPERLINK("https://klasma.github.io/Logging_0561/klagomålsmail/A 31953-2022 FSC-klagomål mail.docx", "A 31953-2022")</f>
        <v/>
      </c>
      <c r="AA54">
        <f>HYPERLINK("https://klasma.github.io/Logging_0561/tillsyn/A 31953-2022 tillsynsbegäran.docx", "A 31953-2022")</f>
        <v/>
      </c>
      <c r="AB54">
        <f>HYPERLINK("https://klasma.github.io/Logging_0561/tillsynsmail/A 31953-2022 tillsynsbegäran mail.docx", "A 31953-2022")</f>
        <v/>
      </c>
    </row>
    <row r="55" ht="15" customHeight="1">
      <c r="A55" t="inlineStr">
        <is>
          <t>A 1141-2025</t>
        </is>
      </c>
      <c r="B55" t="inlineStr">
        <is>
          <t>avverkningsanmälan</t>
        </is>
      </c>
      <c r="C55" t="inlineStr">
        <is>
          <t>Föryngringsavverkning</t>
        </is>
      </c>
      <c r="D55" s="1" t="n">
        <v>45666</v>
      </c>
      <c r="E55" s="1" t="n">
        <v>46216</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s="2" t="inlineStr">
        <is>
          <t>Talltita
Blåmossa</t>
        </is>
      </c>
      <c r="V55">
        <f>HYPERLINK("https://klasma.github.io/Logging_0561/artfynd/A 1141-2025 artfynd.xlsx", "A 1141-2025")</f>
        <v/>
      </c>
      <c r="W55">
        <f>HYPERLINK("https://klasma.github.io/Logging_0561/kartor/A 1141-2025 karta.png", "A 1141-2025")</f>
        <v/>
      </c>
      <c r="Y55">
        <f>HYPERLINK("https://klasma.github.io/Logging_0561/klagomål/A 1141-2025 FSC-klagomål.docx", "A 1141-2025")</f>
        <v/>
      </c>
      <c r="Z55">
        <f>HYPERLINK("https://klasma.github.io/Logging_0561/klagomålsmail/A 1141-2025 FSC-klagomål mail.docx", "A 1141-2025")</f>
        <v/>
      </c>
      <c r="AA55">
        <f>HYPERLINK("https://klasma.github.io/Logging_0561/tillsyn/A 1141-2025 tillsynsbegäran.docx", "A 1141-2025")</f>
        <v/>
      </c>
      <c r="AB55">
        <f>HYPERLINK("https://klasma.github.io/Logging_0561/tillsynsmail/A 1141-2025 tillsynsbegäran mail.docx", "A 1141-2025")</f>
        <v/>
      </c>
      <c r="AC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46216</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s="2" t="inlineStr">
        <is>
          <t>Åkergroda
Vanlig groda</t>
        </is>
      </c>
      <c r="V56">
        <f>HYPERLINK("https://klasma.github.io/Logging_0561/artfynd/A 30472-2023 artfynd.xlsx", "A 30472-2023")</f>
        <v/>
      </c>
      <c r="W56">
        <f>HYPERLINK("https://klasma.github.io/Logging_0561/kartor/A 30472-2023 karta.png", "A 30472-2023")</f>
        <v/>
      </c>
      <c r="Y56">
        <f>HYPERLINK("https://klasma.github.io/Logging_0561/klagomål/A 30472-2023 FSC-klagomål.docx", "A 30472-2023")</f>
        <v/>
      </c>
      <c r="Z56">
        <f>HYPERLINK("https://klasma.github.io/Logging_0561/klagomålsmail/A 30472-2023 FSC-klagomål mail.docx", "A 30472-2023")</f>
        <v/>
      </c>
      <c r="AA56">
        <f>HYPERLINK("https://klasma.github.io/Logging_0561/tillsyn/A 30472-2023 tillsynsbegäran.docx", "A 30472-2023")</f>
        <v/>
      </c>
      <c r="AB56">
        <f>HYPERLINK("https://klasma.github.io/Logging_0561/tillsynsmail/A 30472-2023 tillsynsbegäran mail.docx", "A 30472-2023")</f>
        <v/>
      </c>
    </row>
    <row r="57" ht="15" customHeight="1">
      <c r="A57" t="inlineStr">
        <is>
          <t>A 17772-2025</t>
        </is>
      </c>
      <c r="B57" t="inlineStr">
        <is>
          <t>avverkningsanmälan</t>
        </is>
      </c>
      <c r="C57" t="inlineStr">
        <is>
          <t>Föryngringsavverkning</t>
        </is>
      </c>
      <c r="D57" s="1" t="n">
        <v>45758</v>
      </c>
      <c r="E57" s="1" t="n">
        <v>46216</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s="2" t="inlineStr">
        <is>
          <t>Orre
Revlummer</t>
        </is>
      </c>
      <c r="V57">
        <f>HYPERLINK("https://klasma.github.io/Logging_0561/artfynd/A 17772-2025 artfynd.xlsx", "A 17772-2025")</f>
        <v/>
      </c>
      <c r="W57">
        <f>HYPERLINK("https://klasma.github.io/Logging_0561/kartor/A 17772-2025 karta.png", "A 17772-2025")</f>
        <v/>
      </c>
      <c r="Y57">
        <f>HYPERLINK("https://klasma.github.io/Logging_0561/klagomål/A 17772-2025 FSC-klagomål.docx", "A 17772-2025")</f>
        <v/>
      </c>
      <c r="Z57">
        <f>HYPERLINK("https://klasma.github.io/Logging_0561/klagomålsmail/A 17772-2025 FSC-klagomål mail.docx", "A 17772-2025")</f>
        <v/>
      </c>
      <c r="AA57">
        <f>HYPERLINK("https://klasma.github.io/Logging_0561/tillsyn/A 17772-2025 tillsynsbegäran.docx", "A 17772-2025")</f>
        <v/>
      </c>
      <c r="AB57">
        <f>HYPERLINK("https://klasma.github.io/Logging_0561/tillsynsmail/A 17772-2025 tillsynsbegäran mail.docx", "A 17772-2025")</f>
        <v/>
      </c>
      <c r="AC57">
        <f>HYPERLINK("https://klasma.github.io/Logging_0561/fåglar/A 17772-2025 prioriterade fågelarter.docx", "A 17772-2025")</f>
        <v/>
      </c>
    </row>
    <row r="58" ht="15" customHeight="1">
      <c r="A58" t="inlineStr">
        <is>
          <t>A 33710-2022</t>
        </is>
      </c>
      <c r="B58" t="inlineStr">
        <is>
          <t>avverkningsanmälan</t>
        </is>
      </c>
      <c r="C58" t="inlineStr">
        <is>
          <t>Föryngringsavverkning</t>
        </is>
      </c>
      <c r="D58" s="1" t="n">
        <v>44789</v>
      </c>
      <c r="E58" s="1" t="n">
        <v>46216</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s="2" t="inlineStr">
        <is>
          <t>Bronshjon</t>
        </is>
      </c>
      <c r="V58">
        <f>HYPERLINK("https://klasma.github.io/Logging_0561/artfynd/A 33710-2022 artfynd.xlsx", "A 33710-2022")</f>
        <v/>
      </c>
      <c r="W58">
        <f>HYPERLINK("https://klasma.github.io/Logging_0561/kartor/A 33710-2022 karta.png", "A 33710-2022")</f>
        <v/>
      </c>
      <c r="Y58">
        <f>HYPERLINK("https://klasma.github.io/Logging_0561/klagomål/A 33710-2022 FSC-klagomål.docx", "A 33710-2022")</f>
        <v/>
      </c>
      <c r="Z58">
        <f>HYPERLINK("https://klasma.github.io/Logging_0561/klagomålsmail/A 33710-2022 FSC-klagomål mail.docx", "A 33710-2022")</f>
        <v/>
      </c>
      <c r="AA58">
        <f>HYPERLINK("https://klasma.github.io/Logging_0561/tillsyn/A 33710-2022 tillsynsbegäran.docx", "A 33710-2022")</f>
        <v/>
      </c>
      <c r="AB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46216</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s="2" t="inlineStr">
        <is>
          <t>Ängsskära</t>
        </is>
      </c>
      <c r="V59">
        <f>HYPERLINK("https://klasma.github.io/Logging_0561/artfynd/A 46793-2022 artfynd.xlsx", "A 46793-2022")</f>
        <v/>
      </c>
      <c r="W59">
        <f>HYPERLINK("https://klasma.github.io/Logging_0561/kartor/A 46793-2022 karta.png", "A 46793-2022")</f>
        <v/>
      </c>
      <c r="Y59">
        <f>HYPERLINK("https://klasma.github.io/Logging_0561/klagomål/A 46793-2022 FSC-klagomål.docx", "A 46793-2022")</f>
        <v/>
      </c>
      <c r="Z59">
        <f>HYPERLINK("https://klasma.github.io/Logging_0561/klagomålsmail/A 46793-2022 FSC-klagomål mail.docx", "A 46793-2022")</f>
        <v/>
      </c>
      <c r="AA59">
        <f>HYPERLINK("https://klasma.github.io/Logging_0561/tillsyn/A 46793-2022 tillsynsbegäran.docx", "A 46793-2022")</f>
        <v/>
      </c>
      <c r="AB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46216</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s="2" t="inlineStr">
        <is>
          <t>Skogsklocka</t>
        </is>
      </c>
      <c r="V60">
        <f>HYPERLINK("https://klasma.github.io/Logging_0561/artfynd/A 9976-2022 artfynd.xlsx", "A 9976-2022")</f>
        <v/>
      </c>
      <c r="W60">
        <f>HYPERLINK("https://klasma.github.io/Logging_0561/kartor/A 9976-2022 karta.png", "A 9976-2022")</f>
        <v/>
      </c>
      <c r="Y60">
        <f>HYPERLINK("https://klasma.github.io/Logging_0561/klagomål/A 9976-2022 FSC-klagomål.docx", "A 9976-2022")</f>
        <v/>
      </c>
      <c r="Z60">
        <f>HYPERLINK("https://klasma.github.io/Logging_0561/klagomålsmail/A 9976-2022 FSC-klagomål mail.docx", "A 9976-2022")</f>
        <v/>
      </c>
      <c r="AA60">
        <f>HYPERLINK("https://klasma.github.io/Logging_0561/tillsyn/A 9976-2022 tillsynsbegäran.docx", "A 9976-2022")</f>
        <v/>
      </c>
      <c r="AB60">
        <f>HYPERLINK("https://klasma.github.io/Logging_0561/tillsynsmail/A 9976-2022 tillsynsbegäran mail.docx", "A 9976-2022")</f>
        <v/>
      </c>
    </row>
    <row r="61" ht="15" customHeight="1">
      <c r="A61" t="inlineStr">
        <is>
          <t>A 39882-2021</t>
        </is>
      </c>
      <c r="B61" t="inlineStr">
        <is>
          <t>avverkningsanmälan</t>
        </is>
      </c>
      <c r="C61" t="inlineStr">
        <is>
          <t>Föryngringsavverkning</t>
        </is>
      </c>
      <c r="D61" s="1" t="n">
        <v>44417</v>
      </c>
      <c r="E61" s="1" t="n">
        <v>46216</v>
      </c>
      <c r="F61" t="inlineStr">
        <is>
          <t>ÖSTERGÖTLANDS LÄN</t>
        </is>
      </c>
      <c r="G61" t="inlineStr">
        <is>
          <t>ÅTVIDABERG</t>
        </is>
      </c>
      <c r="I61" t="n">
        <v>0.6</v>
      </c>
      <c r="J61" t="n">
        <v>0</v>
      </c>
      <c r="K61" t="n">
        <v>0</v>
      </c>
      <c r="L61" t="n">
        <v>1</v>
      </c>
      <c r="M61" t="n">
        <v>0</v>
      </c>
      <c r="N61" t="n">
        <v>0</v>
      </c>
      <c r="O61" t="n">
        <v>0</v>
      </c>
      <c r="P61" t="n">
        <v>0</v>
      </c>
      <c r="Q61" t="n">
        <v>1</v>
      </c>
      <c r="R61" t="n">
        <v>0</v>
      </c>
      <c r="S61" t="n">
        <v>1</v>
      </c>
      <c r="T61" t="n">
        <v>1</v>
      </c>
      <c r="U61" s="2" t="inlineStr">
        <is>
          <t>Svinrot</t>
        </is>
      </c>
      <c r="V61">
        <f>HYPERLINK("https://klasma.github.io/Logging_0561/artfynd/A 39882-2021 artfynd.xlsx", "A 39882-2021")</f>
        <v/>
      </c>
      <c r="W61">
        <f>HYPERLINK("https://klasma.github.io/Logging_0561/kartor/A 39882-2021 karta.png", "A 39882-2021")</f>
        <v/>
      </c>
      <c r="Y61">
        <f>HYPERLINK("https://klasma.github.io/Logging_0561/klagomål/A 39882-2021 FSC-klagomål.docx", "A 39882-2021")</f>
        <v/>
      </c>
      <c r="Z61">
        <f>HYPERLINK("https://klasma.github.io/Logging_0561/klagomålsmail/A 39882-2021 FSC-klagomål mail.docx", "A 39882-2021")</f>
        <v/>
      </c>
      <c r="AA61">
        <f>HYPERLINK("https://klasma.github.io/Logging_0561/tillsyn/A 39882-2021 tillsynsbegäran.docx", "A 39882-2021")</f>
        <v/>
      </c>
      <c r="AB61">
        <f>HYPERLINK("https://klasma.github.io/Logging_0561/tillsynsmail/A 39882-2021 tillsynsbegäran mail.docx", "A 39882-2021")</f>
        <v/>
      </c>
    </row>
    <row r="62" ht="15" customHeight="1">
      <c r="A62" t="inlineStr">
        <is>
          <t>A 53088-2021</t>
        </is>
      </c>
      <c r="B62" t="inlineStr">
        <is>
          <t>avverkningsanmälan</t>
        </is>
      </c>
      <c r="C62" t="inlineStr">
        <is>
          <t>Föryngringsavverkning</t>
        </is>
      </c>
      <c r="D62" s="1" t="n">
        <v>44467</v>
      </c>
      <c r="E62" s="1" t="n">
        <v>46216</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s="2" t="inlineStr">
        <is>
          <t>Knärot</t>
        </is>
      </c>
      <c r="V62">
        <f>HYPERLINK("https://klasma.github.io/Logging_0561/artfynd/A 53088-2021 artfynd.xlsx", "A 53088-2021")</f>
        <v/>
      </c>
      <c r="W62">
        <f>HYPERLINK("https://klasma.github.io/Logging_0561/kartor/A 53088-2021 karta.png", "A 53088-2021")</f>
        <v/>
      </c>
      <c r="X62">
        <f>HYPERLINK("https://klasma.github.io/Logging_0561/knärot/A 53088-2021 karta knärot.png", "A 53088-2021")</f>
        <v/>
      </c>
      <c r="Y62">
        <f>HYPERLINK("https://klasma.github.io/Logging_0561/klagomål/A 53088-2021 FSC-klagomål.docx", "A 53088-2021")</f>
        <v/>
      </c>
      <c r="Z62">
        <f>HYPERLINK("https://klasma.github.io/Logging_0561/klagomålsmail/A 53088-2021 FSC-klagomål mail.docx", "A 53088-2021")</f>
        <v/>
      </c>
      <c r="AA62">
        <f>HYPERLINK("https://klasma.github.io/Logging_0561/tillsyn/A 53088-2021 tillsynsbegäran.docx", "A 53088-2021")</f>
        <v/>
      </c>
      <c r="AB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46216</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s="2" t="inlineStr">
        <is>
          <t>Tallticka</t>
        </is>
      </c>
      <c r="V63">
        <f>HYPERLINK("https://klasma.github.io/Logging_0561/artfynd/A 8014-2022 artfynd.xlsx", "A 8014-2022")</f>
        <v/>
      </c>
      <c r="W63">
        <f>HYPERLINK("https://klasma.github.io/Logging_0561/kartor/A 8014-2022 karta.png", "A 8014-2022")</f>
        <v/>
      </c>
      <c r="Y63">
        <f>HYPERLINK("https://klasma.github.io/Logging_0561/klagomål/A 8014-2022 FSC-klagomål.docx", "A 8014-2022")</f>
        <v/>
      </c>
      <c r="Z63">
        <f>HYPERLINK("https://klasma.github.io/Logging_0561/klagomålsmail/A 8014-2022 FSC-klagomål mail.docx", "A 8014-2022")</f>
        <v/>
      </c>
      <c r="AA63">
        <f>HYPERLINK("https://klasma.github.io/Logging_0561/tillsyn/A 8014-2022 tillsynsbegäran.docx", "A 8014-2022")</f>
        <v/>
      </c>
      <c r="AB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46216</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s="2" t="inlineStr">
        <is>
          <t>Mindre märgborre</t>
        </is>
      </c>
      <c r="V64">
        <f>HYPERLINK("https://klasma.github.io/Logging_0561/artfynd/A 56238-2021 artfynd.xlsx", "A 56238-2021")</f>
        <v/>
      </c>
      <c r="W64">
        <f>HYPERLINK("https://klasma.github.io/Logging_0561/kartor/A 56238-2021 karta.png", "A 56238-2021")</f>
        <v/>
      </c>
      <c r="Y64">
        <f>HYPERLINK("https://klasma.github.io/Logging_0561/klagomål/A 56238-2021 FSC-klagomål.docx", "A 56238-2021")</f>
        <v/>
      </c>
      <c r="Z64">
        <f>HYPERLINK("https://klasma.github.io/Logging_0561/klagomålsmail/A 56238-2021 FSC-klagomål mail.docx", "A 56238-2021")</f>
        <v/>
      </c>
      <c r="AA64">
        <f>HYPERLINK("https://klasma.github.io/Logging_0561/tillsyn/A 56238-2021 tillsynsbegäran.docx", "A 56238-2021")</f>
        <v/>
      </c>
      <c r="AB64">
        <f>HYPERLINK("https://klasma.github.io/Logging_0561/tillsynsmail/A 56238-2021 tillsynsbegäran mail.docx", "A 56238-2021")</f>
        <v/>
      </c>
    </row>
    <row r="65" ht="15" customHeight="1">
      <c r="A65" t="inlineStr">
        <is>
          <t>A 22932-2023</t>
        </is>
      </c>
      <c r="B65" t="inlineStr">
        <is>
          <t>avverkningsanmälan</t>
        </is>
      </c>
      <c r="C65" t="inlineStr">
        <is>
          <t>Föryngringsavverkning</t>
        </is>
      </c>
      <c r="D65" s="1" t="n">
        <v>45072</v>
      </c>
      <c r="E65" s="1" t="n">
        <v>46216</v>
      </c>
      <c r="F65" t="inlineStr">
        <is>
          <t>ÖSTERGÖTLANDS LÄN</t>
        </is>
      </c>
      <c r="G65" t="inlineStr">
        <is>
          <t>ÅTVIDABERG</t>
        </is>
      </c>
      <c r="H65" t="inlineStr">
        <is>
          <t>Sveaskog</t>
        </is>
      </c>
      <c r="I65" t="n">
        <v>2</v>
      </c>
      <c r="J65" t="n">
        <v>0</v>
      </c>
      <c r="K65" t="n">
        <v>1</v>
      </c>
      <c r="L65" t="n">
        <v>0</v>
      </c>
      <c r="M65" t="n">
        <v>0</v>
      </c>
      <c r="N65" t="n">
        <v>0</v>
      </c>
      <c r="O65" t="n">
        <v>0</v>
      </c>
      <c r="P65" t="n">
        <v>0</v>
      </c>
      <c r="Q65" t="n">
        <v>0</v>
      </c>
      <c r="R65" t="n">
        <v>0</v>
      </c>
      <c r="S65" t="n">
        <v>1</v>
      </c>
      <c r="T65" t="n">
        <v>1</v>
      </c>
      <c r="U65" s="2" t="inlineStr">
        <is>
          <t>Murgröna</t>
        </is>
      </c>
      <c r="V65">
        <f>HYPERLINK("https://klasma.github.io/Logging_0561/artfynd/A 22932-2023 artfynd.xlsx", "A 22932-2023")</f>
        <v/>
      </c>
      <c r="W65">
        <f>HYPERLINK("https://klasma.github.io/Logging_0561/kartor/A 22932-2023 karta.png", "A 22932-2023")</f>
        <v/>
      </c>
      <c r="Y65">
        <f>HYPERLINK("https://klasma.github.io/Logging_0561/klagomål/A 22932-2023 FSC-klagomål.docx", "A 22932-2023")</f>
        <v/>
      </c>
      <c r="Z65">
        <f>HYPERLINK("https://klasma.github.io/Logging_0561/klagomålsmail/A 22932-2023 FSC-klagomål mail.docx", "A 22932-2023")</f>
        <v/>
      </c>
      <c r="AA65">
        <f>HYPERLINK("https://klasma.github.io/Logging_0561/tillsyn/A 22932-2023 tillsynsbegäran.docx", "A 22932-2023")</f>
        <v/>
      </c>
      <c r="AB65">
        <f>HYPERLINK("https://klasma.github.io/Logging_0561/tillsynsmail/A 22932-2023 tillsynsbegäran mail.docx", "A 22932-2023")</f>
        <v/>
      </c>
    </row>
    <row r="66" ht="15" customHeight="1">
      <c r="A66" t="inlineStr">
        <is>
          <t>A 2176-2023</t>
        </is>
      </c>
      <c r="B66" t="inlineStr">
        <is>
          <t>avverkningsanmälan</t>
        </is>
      </c>
      <c r="C66" t="inlineStr">
        <is>
          <t>Föryngringsavverkning</t>
        </is>
      </c>
      <c r="D66" s="1" t="n">
        <v>44942</v>
      </c>
      <c r="E66" s="1" t="n">
        <v>46216</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s="2" t="inlineStr">
        <is>
          <t>Skogsklocka</t>
        </is>
      </c>
      <c r="V66">
        <f>HYPERLINK("https://klasma.github.io/Logging_0561/artfynd/A 2176-2023 artfynd.xlsx", "A 2176-2023")</f>
        <v/>
      </c>
      <c r="W66">
        <f>HYPERLINK("https://klasma.github.io/Logging_0561/kartor/A 2176-2023 karta.png", "A 2176-2023")</f>
        <v/>
      </c>
      <c r="Y66">
        <f>HYPERLINK("https://klasma.github.io/Logging_0561/klagomål/A 2176-2023 FSC-klagomål.docx", "A 2176-2023")</f>
        <v/>
      </c>
      <c r="Z66">
        <f>HYPERLINK("https://klasma.github.io/Logging_0561/klagomålsmail/A 2176-2023 FSC-klagomål mail.docx", "A 2176-2023")</f>
        <v/>
      </c>
      <c r="AA66">
        <f>HYPERLINK("https://klasma.github.io/Logging_0561/tillsyn/A 2176-2023 tillsynsbegäran.docx", "A 2176-2023")</f>
        <v/>
      </c>
      <c r="AB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46216</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s="2" t="inlineStr">
        <is>
          <t>Purpurknipprot</t>
        </is>
      </c>
      <c r="V67">
        <f>HYPERLINK("https://klasma.github.io/Logging_0561/artfynd/A 1126-2023 artfynd.xlsx", "A 1126-2023")</f>
        <v/>
      </c>
      <c r="W67">
        <f>HYPERLINK("https://klasma.github.io/Logging_0561/kartor/A 1126-2023 karta.png", "A 1126-2023")</f>
        <v/>
      </c>
      <c r="Y67">
        <f>HYPERLINK("https://klasma.github.io/Logging_0561/klagomål/A 1126-2023 FSC-klagomål.docx", "A 1126-2023")</f>
        <v/>
      </c>
      <c r="Z67">
        <f>HYPERLINK("https://klasma.github.io/Logging_0561/klagomålsmail/A 1126-2023 FSC-klagomål mail.docx", "A 1126-2023")</f>
        <v/>
      </c>
      <c r="AA67">
        <f>HYPERLINK("https://klasma.github.io/Logging_0561/tillsyn/A 1126-2023 tillsynsbegäran.docx", "A 1126-2023")</f>
        <v/>
      </c>
      <c r="AB67">
        <f>HYPERLINK("https://klasma.github.io/Logging_0561/tillsynsmail/A 1126-2023 tillsynsbegäran mail.docx", "A 1126-2023")</f>
        <v/>
      </c>
    </row>
    <row r="68" ht="15" customHeight="1">
      <c r="A68" t="inlineStr">
        <is>
          <t>A 22924-2023</t>
        </is>
      </c>
      <c r="B68" t="inlineStr">
        <is>
          <t>avverkningsanmälan</t>
        </is>
      </c>
      <c r="C68" t="inlineStr">
        <is>
          <t>Föryngringsavverkning</t>
        </is>
      </c>
      <c r="D68" s="1" t="n">
        <v>45072</v>
      </c>
      <c r="E68" s="1" t="n">
        <v>46216</v>
      </c>
      <c r="F68" t="inlineStr">
        <is>
          <t>ÖSTERGÖTLANDS LÄN</t>
        </is>
      </c>
      <c r="G68" t="inlineStr">
        <is>
          <t>ÅTVIDABERG</t>
        </is>
      </c>
      <c r="H68" t="inlineStr">
        <is>
          <t>Sveaskog</t>
        </is>
      </c>
      <c r="I68" t="n">
        <v>5.3</v>
      </c>
      <c r="J68" t="n">
        <v>0</v>
      </c>
      <c r="K68" t="n">
        <v>1</v>
      </c>
      <c r="L68" t="n">
        <v>0</v>
      </c>
      <c r="M68" t="n">
        <v>0</v>
      </c>
      <c r="N68" t="n">
        <v>0</v>
      </c>
      <c r="O68" t="n">
        <v>0</v>
      </c>
      <c r="P68" t="n">
        <v>0</v>
      </c>
      <c r="Q68" t="n">
        <v>0</v>
      </c>
      <c r="R68" t="n">
        <v>0</v>
      </c>
      <c r="S68" t="n">
        <v>1</v>
      </c>
      <c r="T68" t="n">
        <v>1</v>
      </c>
      <c r="U68" s="2" t="inlineStr">
        <is>
          <t>Murgröna</t>
        </is>
      </c>
      <c r="V68">
        <f>HYPERLINK("https://klasma.github.io/Logging_0561/artfynd/A 22924-2023 artfynd.xlsx", "A 22924-2023")</f>
        <v/>
      </c>
      <c r="W68">
        <f>HYPERLINK("https://klasma.github.io/Logging_0561/kartor/A 22924-2023 karta.png", "A 22924-2023")</f>
        <v/>
      </c>
      <c r="Y68">
        <f>HYPERLINK("https://klasma.github.io/Logging_0561/klagomål/A 22924-2023 FSC-klagomål.docx", "A 22924-2023")</f>
        <v/>
      </c>
      <c r="Z68">
        <f>HYPERLINK("https://klasma.github.io/Logging_0561/klagomålsmail/A 22924-2023 FSC-klagomål mail.docx", "A 22924-2023")</f>
        <v/>
      </c>
      <c r="AA68">
        <f>HYPERLINK("https://klasma.github.io/Logging_0561/tillsyn/A 22924-2023 tillsynsbegäran.docx", "A 22924-2023")</f>
        <v/>
      </c>
      <c r="AB68">
        <f>HYPERLINK("https://klasma.github.io/Logging_0561/tillsynsmail/A 22924-2023 tillsynsbegäran mail.docx", "A 22924-2023")</f>
        <v/>
      </c>
    </row>
    <row r="69" ht="15" customHeight="1">
      <c r="A69" t="inlineStr">
        <is>
          <t>A 388-2025</t>
        </is>
      </c>
      <c r="B69" t="inlineStr">
        <is>
          <t>avverkningsanmälan</t>
        </is>
      </c>
      <c r="C69" t="inlineStr">
        <is>
          <t>Föryngringsavverkning</t>
        </is>
      </c>
      <c r="D69" s="1" t="n">
        <v>45662</v>
      </c>
      <c r="E69" s="1" t="n">
        <v>46216</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s="2" t="inlineStr">
        <is>
          <t>Bergjohannesört</t>
        </is>
      </c>
      <c r="V69">
        <f>HYPERLINK("https://klasma.github.io/Logging_0561/artfynd/A 388-2025 artfynd.xlsx", "A 388-2025")</f>
        <v/>
      </c>
      <c r="W69">
        <f>HYPERLINK("https://klasma.github.io/Logging_0561/kartor/A 388-2025 karta.png", "A 388-2025")</f>
        <v/>
      </c>
      <c r="Y69">
        <f>HYPERLINK("https://klasma.github.io/Logging_0561/klagomål/A 388-2025 FSC-klagomål.docx", "A 388-2025")</f>
        <v/>
      </c>
      <c r="Z69">
        <f>HYPERLINK("https://klasma.github.io/Logging_0561/klagomålsmail/A 388-2025 FSC-klagomål mail.docx", "A 388-2025")</f>
        <v/>
      </c>
      <c r="AA69">
        <f>HYPERLINK("https://klasma.github.io/Logging_0561/tillsyn/A 388-2025 tillsynsbegäran.docx", "A 388-2025")</f>
        <v/>
      </c>
      <c r="AB69">
        <f>HYPERLINK("https://klasma.github.io/Logging_0561/tillsynsmail/A 388-2025 tillsynsbegäran mail.docx", "A 388-2025")</f>
        <v/>
      </c>
    </row>
    <row r="70" ht="15" customHeight="1">
      <c r="A70" t="inlineStr">
        <is>
          <t>A 49689-2025</t>
        </is>
      </c>
      <c r="B70" t="inlineStr">
        <is>
          <t>avverkningsanmälan</t>
        </is>
      </c>
      <c r="C70" t="inlineStr">
        <is>
          <t>Föryngringsavverkning</t>
        </is>
      </c>
      <c r="D70" s="1" t="n">
        <v>45938</v>
      </c>
      <c r="E70" s="1" t="n">
        <v>46216</v>
      </c>
      <c r="F70" t="inlineStr">
        <is>
          <t>ÖSTERGÖTLANDS LÄN</t>
        </is>
      </c>
      <c r="G70" t="inlineStr">
        <is>
          <t>ÅTVIDABERG</t>
        </is>
      </c>
      <c r="I70" t="n">
        <v>1.3</v>
      </c>
      <c r="J70" t="n">
        <v>1</v>
      </c>
      <c r="K70" t="n">
        <v>0</v>
      </c>
      <c r="L70" t="n">
        <v>0</v>
      </c>
      <c r="M70" t="n">
        <v>0</v>
      </c>
      <c r="N70" t="n">
        <v>0</v>
      </c>
      <c r="O70" t="n">
        <v>0</v>
      </c>
      <c r="P70" t="n">
        <v>0</v>
      </c>
      <c r="Q70" t="n">
        <v>0</v>
      </c>
      <c r="R70" t="n">
        <v>0</v>
      </c>
      <c r="S70" t="n">
        <v>1</v>
      </c>
      <c r="T70" t="n">
        <v>1</v>
      </c>
      <c r="U70" s="2" t="inlineStr">
        <is>
          <t>Spillkråka</t>
        </is>
      </c>
      <c r="V70">
        <f>HYPERLINK("https://klasma.github.io/Logging_0561/artfynd/A 49689-2025 artfynd.xlsx", "A 49689-2025")</f>
        <v/>
      </c>
      <c r="W70">
        <f>HYPERLINK("https://klasma.github.io/Logging_0561/kartor/A 49689-2025 karta.png", "A 49689-2025")</f>
        <v/>
      </c>
      <c r="Y70">
        <f>HYPERLINK("https://klasma.github.io/Logging_0561/klagomål/A 49689-2025 FSC-klagomål.docx", "A 49689-2025")</f>
        <v/>
      </c>
      <c r="Z70">
        <f>HYPERLINK("https://klasma.github.io/Logging_0561/klagomålsmail/A 49689-2025 FSC-klagomål mail.docx", "A 49689-2025")</f>
        <v/>
      </c>
      <c r="AA70">
        <f>HYPERLINK("https://klasma.github.io/Logging_0561/tillsyn/A 49689-2025 tillsynsbegäran.docx", "A 49689-2025")</f>
        <v/>
      </c>
      <c r="AB70">
        <f>HYPERLINK("https://klasma.github.io/Logging_0561/tillsynsmail/A 49689-2025 tillsynsbegäran mail.docx", "A 49689-2025")</f>
        <v/>
      </c>
      <c r="AC70">
        <f>HYPERLINK("https://klasma.github.io/Logging_0561/fåglar/A 49689-2025 prioriterade fågelarter.docx", "A 49689-2025")</f>
        <v/>
      </c>
    </row>
    <row r="71" ht="15" customHeight="1">
      <c r="A71" t="inlineStr">
        <is>
          <t>A 4004-2024</t>
        </is>
      </c>
      <c r="B71" t="inlineStr">
        <is>
          <t>avverkningsanmälan</t>
        </is>
      </c>
      <c r="C71" t="inlineStr">
        <is>
          <t>Föryngringsavverkning</t>
        </is>
      </c>
      <c r="D71" s="1" t="n">
        <v>45323</v>
      </c>
      <c r="E71" s="1" t="n">
        <v>46216</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s="2" t="inlineStr">
        <is>
          <t>Vedticka</t>
        </is>
      </c>
      <c r="V71">
        <f>HYPERLINK("https://klasma.github.io/Logging_0561/artfynd/A 4004-2024 artfynd.xlsx", "A 4004-2024")</f>
        <v/>
      </c>
      <c r="W71">
        <f>HYPERLINK("https://klasma.github.io/Logging_0561/kartor/A 4004-2024 karta.png", "A 4004-2024")</f>
        <v/>
      </c>
      <c r="Y71">
        <f>HYPERLINK("https://klasma.github.io/Logging_0561/klagomål/A 4004-2024 FSC-klagomål.docx", "A 4004-2024")</f>
        <v/>
      </c>
      <c r="Z71">
        <f>HYPERLINK("https://klasma.github.io/Logging_0561/klagomålsmail/A 4004-2024 FSC-klagomål mail.docx", "A 4004-2024")</f>
        <v/>
      </c>
      <c r="AA71">
        <f>HYPERLINK("https://klasma.github.io/Logging_0561/tillsyn/A 4004-2024 tillsynsbegäran.docx", "A 4004-2024")</f>
        <v/>
      </c>
      <c r="AB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46216</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s="2" t="inlineStr">
        <is>
          <t>Sandödla</t>
        </is>
      </c>
      <c r="V72">
        <f>HYPERLINK("https://klasma.github.io/Logging_0561/artfynd/A 11766-2023 artfynd.xlsx", "A 11766-2023")</f>
        <v/>
      </c>
      <c r="W72">
        <f>HYPERLINK("https://klasma.github.io/Logging_0561/kartor/A 11766-2023 karta.png", "A 11766-2023")</f>
        <v/>
      </c>
      <c r="Y72">
        <f>HYPERLINK("https://klasma.github.io/Logging_0561/klagomål/A 11766-2023 FSC-klagomål.docx", "A 11766-2023")</f>
        <v/>
      </c>
      <c r="Z72">
        <f>HYPERLINK("https://klasma.github.io/Logging_0561/klagomålsmail/A 11766-2023 FSC-klagomål mail.docx", "A 11766-2023")</f>
        <v/>
      </c>
      <c r="AA72">
        <f>HYPERLINK("https://klasma.github.io/Logging_0561/tillsyn/A 11766-2023 tillsynsbegäran.docx", "A 11766-2023")</f>
        <v/>
      </c>
      <c r="AB72">
        <f>HYPERLINK("https://klasma.github.io/Logging_0561/tillsynsmail/A 11766-2023 tillsynsbegäran mail.docx", "A 11766-2023")</f>
        <v/>
      </c>
    </row>
    <row r="73" ht="15" customHeight="1">
      <c r="A73" t="inlineStr">
        <is>
          <t>A 4671-2026</t>
        </is>
      </c>
      <c r="B73" t="inlineStr">
        <is>
          <t>avverkningsanmälan</t>
        </is>
      </c>
      <c r="C73" t="inlineStr">
        <is>
          <t>Föryngringsavverkning</t>
        </is>
      </c>
      <c r="D73" s="1" t="n">
        <v>46048</v>
      </c>
      <c r="E73" s="1" t="n">
        <v>46216</v>
      </c>
      <c r="F73" t="inlineStr">
        <is>
          <t>ÖSTERGÖTLANDS LÄN</t>
        </is>
      </c>
      <c r="G73" t="inlineStr">
        <is>
          <t>ÅTVIDABERG</t>
        </is>
      </c>
      <c r="I73" t="n">
        <v>7</v>
      </c>
      <c r="J73" t="n">
        <v>0</v>
      </c>
      <c r="K73" t="n">
        <v>0</v>
      </c>
      <c r="L73" t="n">
        <v>0</v>
      </c>
      <c r="M73" t="n">
        <v>0</v>
      </c>
      <c r="N73" t="n">
        <v>1</v>
      </c>
      <c r="O73" t="n">
        <v>0</v>
      </c>
      <c r="P73" t="n">
        <v>0</v>
      </c>
      <c r="Q73" t="n">
        <v>1</v>
      </c>
      <c r="R73" t="n">
        <v>1</v>
      </c>
      <c r="S73" t="n">
        <v>1</v>
      </c>
      <c r="T73" t="n">
        <v>1</v>
      </c>
      <c r="U73" s="2" t="inlineStr">
        <is>
          <t>Ask</t>
        </is>
      </c>
      <c r="V73">
        <f>HYPERLINK("https://klasma.github.io/Logging_0561/artfynd/A 4671-2026 artfynd.xlsx", "A 4671-2026")</f>
        <v/>
      </c>
      <c r="W73">
        <f>HYPERLINK("https://klasma.github.io/Logging_0561/kartor/A 4671-2026 karta.png", "A 4671-2026")</f>
        <v/>
      </c>
      <c r="Y73">
        <f>HYPERLINK("https://klasma.github.io/Logging_0561/klagomål/A 4671-2026 FSC-klagomål.docx", "A 4671-2026")</f>
        <v/>
      </c>
      <c r="Z73">
        <f>HYPERLINK("https://klasma.github.io/Logging_0561/klagomålsmail/A 4671-2026 FSC-klagomål mail.docx", "A 4671-2026")</f>
        <v/>
      </c>
      <c r="AA73">
        <f>HYPERLINK("https://klasma.github.io/Logging_0561/tillsyn/A 4671-2026 tillsynsbegäran.docx", "A 4671-2026")</f>
        <v/>
      </c>
      <c r="AB73">
        <f>HYPERLINK("https://klasma.github.io/Logging_0561/tillsynsmail/A 4671-2026 tillsynsbegäran mail.docx", "A 4671-2026")</f>
        <v/>
      </c>
    </row>
    <row r="74" ht="15" customHeight="1">
      <c r="A74" t="inlineStr">
        <is>
          <t>A 39488-2021</t>
        </is>
      </c>
      <c r="B74" t="inlineStr">
        <is>
          <t>avverkningsanmälan</t>
        </is>
      </c>
      <c r="C74" t="inlineStr">
        <is>
          <t>Föryngringsavverkning</t>
        </is>
      </c>
      <c r="D74" s="1" t="n">
        <v>44414</v>
      </c>
      <c r="E74" s="1" t="n">
        <v>46216</v>
      </c>
      <c r="F74" t="inlineStr">
        <is>
          <t>ÖSTERGÖTLANDS LÄN</t>
        </is>
      </c>
      <c r="G74" t="inlineStr">
        <is>
          <t>ÅTVIDABERG</t>
        </is>
      </c>
      <c r="I74" t="n">
        <v>0.8</v>
      </c>
      <c r="J74" t="n">
        <v>0</v>
      </c>
      <c r="K74" t="n">
        <v>0</v>
      </c>
      <c r="L74" t="n">
        <v>1</v>
      </c>
      <c r="M74" t="n">
        <v>0</v>
      </c>
      <c r="N74" t="n">
        <v>0</v>
      </c>
      <c r="O74" t="n">
        <v>0</v>
      </c>
      <c r="P74" t="n">
        <v>0</v>
      </c>
      <c r="Q74" t="n">
        <v>1</v>
      </c>
      <c r="R74" t="n">
        <v>0</v>
      </c>
      <c r="S74" t="n">
        <v>1</v>
      </c>
      <c r="T74" t="n">
        <v>1</v>
      </c>
      <c r="U74" s="2" t="inlineStr">
        <is>
          <t>Ekticka</t>
        </is>
      </c>
      <c r="V74">
        <f>HYPERLINK("https://klasma.github.io/Logging_0561/artfynd/A 39488-2021 artfynd.xlsx", "A 39488-2021")</f>
        <v/>
      </c>
      <c r="W74">
        <f>HYPERLINK("https://klasma.github.io/Logging_0561/kartor/A 39488-2021 karta.png", "A 39488-2021")</f>
        <v/>
      </c>
      <c r="Y74">
        <f>HYPERLINK("https://klasma.github.io/Logging_0561/klagomål/A 39488-2021 FSC-klagomål.docx", "A 39488-2021")</f>
        <v/>
      </c>
      <c r="Z74">
        <f>HYPERLINK("https://klasma.github.io/Logging_0561/klagomålsmail/A 39488-2021 FSC-klagomål mail.docx", "A 39488-2021")</f>
        <v/>
      </c>
      <c r="AA74">
        <f>HYPERLINK("https://klasma.github.io/Logging_0561/tillsyn/A 39488-2021 tillsynsbegäran.docx", "A 39488-2021")</f>
        <v/>
      </c>
      <c r="AB74">
        <f>HYPERLINK("https://klasma.github.io/Logging_0561/tillsynsmail/A 39488-2021 tillsynsbegäran mail.docx", "A 39488-2021")</f>
        <v/>
      </c>
    </row>
    <row r="75" ht="15" customHeight="1">
      <c r="A75" t="inlineStr">
        <is>
          <t>A 57110-2025</t>
        </is>
      </c>
      <c r="B75" t="inlineStr">
        <is>
          <t>avverkningsanmälan</t>
        </is>
      </c>
      <c r="C75" t="inlineStr">
        <is>
          <t>Föryngringsavverkning</t>
        </is>
      </c>
      <c r="D75" s="1" t="n">
        <v>45979</v>
      </c>
      <c r="E75" s="1" t="n">
        <v>46216</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s="2" t="inlineStr">
        <is>
          <t>Vedskivlav</t>
        </is>
      </c>
      <c r="V75">
        <f>HYPERLINK("https://klasma.github.io/Logging_0561/artfynd/A 57110-2025 artfynd.xlsx", "A 57110-2025")</f>
        <v/>
      </c>
      <c r="W75">
        <f>HYPERLINK("https://klasma.github.io/Logging_0561/kartor/A 57110-2025 karta.png", "A 57110-2025")</f>
        <v/>
      </c>
      <c r="Y75">
        <f>HYPERLINK("https://klasma.github.io/Logging_0561/klagomål/A 57110-2025 FSC-klagomål.docx", "A 57110-2025")</f>
        <v/>
      </c>
      <c r="Z75">
        <f>HYPERLINK("https://klasma.github.io/Logging_0561/klagomålsmail/A 57110-2025 FSC-klagomål mail.docx", "A 57110-2025")</f>
        <v/>
      </c>
      <c r="AA75">
        <f>HYPERLINK("https://klasma.github.io/Logging_0561/tillsyn/A 57110-2025 tillsynsbegäran.docx", "A 57110-2025")</f>
        <v/>
      </c>
      <c r="AB75">
        <f>HYPERLINK("https://klasma.github.io/Logging_0561/tillsynsmail/A 57110-2025 tillsynsbegäran mail.docx", "A 57110-2025")</f>
        <v/>
      </c>
    </row>
    <row r="76" ht="15" customHeight="1">
      <c r="A76" t="inlineStr">
        <is>
          <t>A 4149-2024</t>
        </is>
      </c>
      <c r="B76" t="inlineStr">
        <is>
          <t>avverkningsanmälan</t>
        </is>
      </c>
      <c r="C76" t="inlineStr">
        <is>
          <t>Föryngringsavverkning</t>
        </is>
      </c>
      <c r="D76" s="1" t="n">
        <v>45323</v>
      </c>
      <c r="E76" s="1" t="n">
        <v>46216</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s="2" t="inlineStr">
        <is>
          <t>Knärot</t>
        </is>
      </c>
      <c r="V76">
        <f>HYPERLINK("https://klasma.github.io/Logging_0561/artfynd/A 4149-2024 artfynd.xlsx", "A 4149-2024")</f>
        <v/>
      </c>
      <c r="W76">
        <f>HYPERLINK("https://klasma.github.io/Logging_0561/kartor/A 4149-2024 karta.png", "A 4149-2024")</f>
        <v/>
      </c>
      <c r="X76">
        <f>HYPERLINK("https://klasma.github.io/Logging_0561/knärot/A 4149-2024 karta knärot.png", "A 4149-2024")</f>
        <v/>
      </c>
      <c r="Y76">
        <f>HYPERLINK("https://klasma.github.io/Logging_0561/klagomål/A 4149-2024 FSC-klagomål.docx", "A 4149-2024")</f>
        <v/>
      </c>
      <c r="Z76">
        <f>HYPERLINK("https://klasma.github.io/Logging_0561/klagomålsmail/A 4149-2024 FSC-klagomål mail.docx", "A 4149-2024")</f>
        <v/>
      </c>
      <c r="AA76">
        <f>HYPERLINK("https://klasma.github.io/Logging_0561/tillsyn/A 4149-2024 tillsynsbegäran.docx", "A 4149-2024")</f>
        <v/>
      </c>
      <c r="AB76">
        <f>HYPERLINK("https://klasma.github.io/Logging_0561/tillsynsmail/A 4149-2024 tillsynsbegäran mail.docx", "A 4149-2024")</f>
        <v/>
      </c>
    </row>
    <row r="77" ht="15" customHeight="1">
      <c r="A77" t="inlineStr">
        <is>
          <t>A 11597-2026</t>
        </is>
      </c>
      <c r="B77" t="inlineStr">
        <is>
          <t>avverkningsanmälan</t>
        </is>
      </c>
      <c r="C77" t="inlineStr">
        <is>
          <t>Föryngringsavverkning</t>
        </is>
      </c>
      <c r="D77" s="1" t="n">
        <v>46084</v>
      </c>
      <c r="E77" s="1" t="n">
        <v>46216</v>
      </c>
      <c r="F77" t="inlineStr">
        <is>
          <t>ÖSTERGÖTLANDS LÄN</t>
        </is>
      </c>
      <c r="G77" t="inlineStr">
        <is>
          <t>ÅTVIDABERG</t>
        </is>
      </c>
      <c r="H77" t="inlineStr">
        <is>
          <t>Holmen skog AB</t>
        </is>
      </c>
      <c r="I77" t="n">
        <v>0.8</v>
      </c>
      <c r="J77" t="n">
        <v>0</v>
      </c>
      <c r="K77" t="n">
        <v>0</v>
      </c>
      <c r="L77" t="n">
        <v>1</v>
      </c>
      <c r="M77" t="n">
        <v>0</v>
      </c>
      <c r="N77" t="n">
        <v>0</v>
      </c>
      <c r="O77" t="n">
        <v>0</v>
      </c>
      <c r="P77" t="n">
        <v>0</v>
      </c>
      <c r="Q77" t="n">
        <v>1</v>
      </c>
      <c r="R77" t="n">
        <v>0</v>
      </c>
      <c r="S77" t="n">
        <v>1</v>
      </c>
      <c r="T77" t="n">
        <v>1</v>
      </c>
      <c r="U77" s="2" t="inlineStr">
        <is>
          <t>Vedskivlav</t>
        </is>
      </c>
      <c r="V77">
        <f>HYPERLINK("https://klasma.github.io/Logging_0561/artfynd/A 11597-2026 artfynd.xlsx", "A 11597-2026")</f>
        <v/>
      </c>
      <c r="W77">
        <f>HYPERLINK("https://klasma.github.io/Logging_0561/kartor/A 11597-2026 karta.png", "A 11597-2026")</f>
        <v/>
      </c>
      <c r="X77">
        <f>HYPERLINK("https://klasma.github.io/Logging_0561/knärot/A 11597-2026 karta knärot.png", "A 11597-2026")</f>
        <v/>
      </c>
      <c r="Y77">
        <f>HYPERLINK("https://klasma.github.io/Logging_0561/klagomål/A 11597-2026 FSC-klagomål.docx", "A 11597-2026")</f>
        <v/>
      </c>
      <c r="Z77">
        <f>HYPERLINK("https://klasma.github.io/Logging_0561/klagomålsmail/A 11597-2026 FSC-klagomål mail.docx", "A 11597-2026")</f>
        <v/>
      </c>
      <c r="AA77">
        <f>HYPERLINK("https://klasma.github.io/Logging_0561/tillsyn/A 11597-2026 tillsynsbegäran.docx", "A 11597-2026")</f>
        <v/>
      </c>
      <c r="AB77">
        <f>HYPERLINK("https://klasma.github.io/Logging_0561/tillsynsmail/A 11597-2026 tillsynsbegäran mail.docx", "A 11597-2026")</f>
        <v/>
      </c>
    </row>
    <row r="78" ht="15" customHeight="1">
      <c r="A78" t="inlineStr">
        <is>
          <t>A 49146-2023</t>
        </is>
      </c>
      <c r="B78" t="inlineStr">
        <is>
          <t>avverkningsanmälan</t>
        </is>
      </c>
      <c r="C78" t="inlineStr">
        <is>
          <t>Föryngringsavverkning</t>
        </is>
      </c>
      <c r="D78" s="1" t="n">
        <v>45204</v>
      </c>
      <c r="E78" s="1" t="n">
        <v>46216</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s="2" t="inlineStr">
        <is>
          <t>Ekoxe</t>
        </is>
      </c>
      <c r="V78">
        <f>HYPERLINK("https://klasma.github.io/Logging_0561/artfynd/A 49146-2023 artfynd.xlsx", "A 49146-2023")</f>
        <v/>
      </c>
      <c r="W78">
        <f>HYPERLINK("https://klasma.github.io/Logging_0561/kartor/A 49146-2023 karta.png", "A 49146-2023")</f>
        <v/>
      </c>
      <c r="Y78">
        <f>HYPERLINK("https://klasma.github.io/Logging_0561/klagomål/A 49146-2023 FSC-klagomål.docx", "A 49146-2023")</f>
        <v/>
      </c>
      <c r="Z78">
        <f>HYPERLINK("https://klasma.github.io/Logging_0561/klagomålsmail/A 49146-2023 FSC-klagomål mail.docx", "A 49146-2023")</f>
        <v/>
      </c>
      <c r="AA78">
        <f>HYPERLINK("https://klasma.github.io/Logging_0561/tillsyn/A 49146-2023 tillsynsbegäran.docx", "A 49146-2023")</f>
        <v/>
      </c>
      <c r="AB78">
        <f>HYPERLINK("https://klasma.github.io/Logging_0561/tillsynsmail/A 49146-2023 tillsynsbegäran mail.docx", "A 49146-2023")</f>
        <v/>
      </c>
    </row>
    <row r="79" ht="15" customHeight="1">
      <c r="A79" t="inlineStr">
        <is>
          <t>A 16609-2026</t>
        </is>
      </c>
      <c r="B79" t="inlineStr">
        <is>
          <t>avverkningsanmälan</t>
        </is>
      </c>
      <c r="C79" t="inlineStr">
        <is>
          <t>Avverkning för annat ändamål</t>
        </is>
      </c>
      <c r="D79" s="1" t="n">
        <v>46112</v>
      </c>
      <c r="E79" s="1" t="n">
        <v>46216</v>
      </c>
      <c r="F79" t="inlineStr">
        <is>
          <t>ÖSTERGÖTLANDS LÄN</t>
        </is>
      </c>
      <c r="G79" t="inlineStr">
        <is>
          <t>ÅTVIDABERG</t>
        </is>
      </c>
      <c r="H79" t="inlineStr">
        <is>
          <t>Sveaskog</t>
        </is>
      </c>
      <c r="I79" t="n">
        <v>0.5</v>
      </c>
      <c r="J79" t="n">
        <v>1</v>
      </c>
      <c r="K79" t="n">
        <v>0</v>
      </c>
      <c r="L79" t="n">
        <v>0</v>
      </c>
      <c r="M79" t="n">
        <v>0</v>
      </c>
      <c r="N79" t="n">
        <v>0</v>
      </c>
      <c r="O79" t="n">
        <v>0</v>
      </c>
      <c r="P79" t="n">
        <v>0</v>
      </c>
      <c r="Q79" t="n">
        <v>0</v>
      </c>
      <c r="R79" t="n">
        <v>0</v>
      </c>
      <c r="S79" t="n">
        <v>1</v>
      </c>
      <c r="T79" t="n">
        <v>1</v>
      </c>
      <c r="U79" s="2" t="inlineStr">
        <is>
          <t>Spillkråka</t>
        </is>
      </c>
      <c r="V79">
        <f>HYPERLINK("https://klasma.github.io/Logging_0561/artfynd/A 16609-2026 artfynd.xlsx", "A 16609-2026")</f>
        <v/>
      </c>
      <c r="W79">
        <f>HYPERLINK("https://klasma.github.io/Logging_0561/kartor/A 16609-2026 karta.png", "A 16609-2026")</f>
        <v/>
      </c>
      <c r="Y79">
        <f>HYPERLINK("https://klasma.github.io/Logging_0561/klagomål/A 16609-2026 FSC-klagomål.docx", "A 16609-2026")</f>
        <v/>
      </c>
      <c r="Z79">
        <f>HYPERLINK("https://klasma.github.io/Logging_0561/klagomålsmail/A 16609-2026 FSC-klagomål mail.docx", "A 16609-2026")</f>
        <v/>
      </c>
      <c r="AA79">
        <f>HYPERLINK("https://klasma.github.io/Logging_0561/tillsyn/A 16609-2026 tillsynsbegäran.docx", "A 16609-2026")</f>
        <v/>
      </c>
      <c r="AB79">
        <f>HYPERLINK("https://klasma.github.io/Logging_0561/tillsynsmail/A 16609-2026 tillsynsbegäran mail.docx", "A 16609-2026")</f>
        <v/>
      </c>
      <c r="AC79">
        <f>HYPERLINK("https://klasma.github.io/Logging_0561/fåglar/A 16609-2026 prioriterade fågelarter.docx", "A 16609-2026")</f>
        <v/>
      </c>
    </row>
    <row r="80" ht="15" customHeight="1">
      <c r="A80" t="inlineStr">
        <is>
          <t>A 16606-2026</t>
        </is>
      </c>
      <c r="B80" t="inlineStr">
        <is>
          <t>avverkningsanmälan</t>
        </is>
      </c>
      <c r="C80" t="inlineStr">
        <is>
          <t>Avverkning för annat ändamål</t>
        </is>
      </c>
      <c r="D80" s="1" t="n">
        <v>46112</v>
      </c>
      <c r="E80" s="1" t="n">
        <v>46216</v>
      </c>
      <c r="F80" t="inlineStr">
        <is>
          <t>ÖSTERGÖTLANDS LÄN</t>
        </is>
      </c>
      <c r="G80" t="inlineStr">
        <is>
          <t>ÅTVIDABERG</t>
        </is>
      </c>
      <c r="H80" t="inlineStr">
        <is>
          <t>Sveaskog</t>
        </is>
      </c>
      <c r="I80" t="n">
        <v>0.9</v>
      </c>
      <c r="J80" t="n">
        <v>1</v>
      </c>
      <c r="K80" t="n">
        <v>1</v>
      </c>
      <c r="L80" t="n">
        <v>0</v>
      </c>
      <c r="M80" t="n">
        <v>0</v>
      </c>
      <c r="N80" t="n">
        <v>0</v>
      </c>
      <c r="O80" t="n">
        <v>0</v>
      </c>
      <c r="P80" t="n">
        <v>0</v>
      </c>
      <c r="Q80" t="n">
        <v>0</v>
      </c>
      <c r="R80" t="n">
        <v>0</v>
      </c>
      <c r="S80" t="n">
        <v>1</v>
      </c>
      <c r="T80" t="n">
        <v>1</v>
      </c>
      <c r="U80" s="2" t="inlineStr">
        <is>
          <t>Grön sköldmossa</t>
        </is>
      </c>
      <c r="V80">
        <f>HYPERLINK("https://klasma.github.io/Logging_0561/artfynd/A 16606-2026 artfynd.xlsx", "A 16606-2026")</f>
        <v/>
      </c>
      <c r="W80">
        <f>HYPERLINK("https://klasma.github.io/Logging_0561/kartor/A 16606-2026 karta.png", "A 16606-2026")</f>
        <v/>
      </c>
      <c r="Y80">
        <f>HYPERLINK("https://klasma.github.io/Logging_0561/klagomål/A 16606-2026 FSC-klagomål.docx", "A 16606-2026")</f>
        <v/>
      </c>
      <c r="Z80">
        <f>HYPERLINK("https://klasma.github.io/Logging_0561/klagomålsmail/A 16606-2026 FSC-klagomål mail.docx", "A 16606-2026")</f>
        <v/>
      </c>
      <c r="AA80">
        <f>HYPERLINK("https://klasma.github.io/Logging_0561/tillsyn/A 16606-2026 tillsynsbegäran.docx", "A 16606-2026")</f>
        <v/>
      </c>
      <c r="AB80">
        <f>HYPERLINK("https://klasma.github.io/Logging_0561/tillsynsmail/A 16606-2026 tillsynsbegäran mail.docx", "A 16606-2026")</f>
        <v/>
      </c>
    </row>
    <row r="81" ht="15" customHeight="1">
      <c r="A81" t="inlineStr">
        <is>
          <t>A 53004-2023</t>
        </is>
      </c>
      <c r="B81" t="inlineStr">
        <is>
          <t>avverkningsanmälan</t>
        </is>
      </c>
      <c r="C81" t="inlineStr">
        <is>
          <t>Föryngringsavverkning</t>
        </is>
      </c>
      <c r="D81" s="1" t="n">
        <v>45222</v>
      </c>
      <c r="E81" s="1" t="n">
        <v>46216</v>
      </c>
      <c r="F81" t="inlineStr">
        <is>
          <t>ÖSTERGÖTLANDS LÄN</t>
        </is>
      </c>
      <c r="G81" t="inlineStr">
        <is>
          <t>ÅTVIDABERG</t>
        </is>
      </c>
      <c r="I81" t="n">
        <v>2.2</v>
      </c>
      <c r="J81" t="n">
        <v>0</v>
      </c>
      <c r="K81" t="n">
        <v>0</v>
      </c>
      <c r="L81" t="n">
        <v>1</v>
      </c>
      <c r="M81" t="n">
        <v>0</v>
      </c>
      <c r="N81" t="n">
        <v>0</v>
      </c>
      <c r="O81" t="n">
        <v>0</v>
      </c>
      <c r="P81" t="n">
        <v>0</v>
      </c>
      <c r="Q81" t="n">
        <v>1</v>
      </c>
      <c r="R81" t="n">
        <v>0</v>
      </c>
      <c r="S81" t="n">
        <v>1</v>
      </c>
      <c r="T81" t="n">
        <v>1</v>
      </c>
      <c r="U81" s="2" t="inlineStr">
        <is>
          <t>Fjällig taggsvamp s.str.</t>
        </is>
      </c>
      <c r="V81">
        <f>HYPERLINK("https://klasma.github.io/Logging_0561/artfynd/A 53004-2023 artfynd.xlsx", "A 53004-2023")</f>
        <v/>
      </c>
      <c r="W81">
        <f>HYPERLINK("https://klasma.github.io/Logging_0561/kartor/A 53004-2023 karta.png", "A 53004-2023")</f>
        <v/>
      </c>
      <c r="Y81">
        <f>HYPERLINK("https://klasma.github.io/Logging_0561/klagomål/A 53004-2023 FSC-klagomål.docx", "A 53004-2023")</f>
        <v/>
      </c>
      <c r="Z81">
        <f>HYPERLINK("https://klasma.github.io/Logging_0561/klagomålsmail/A 53004-2023 FSC-klagomål mail.docx", "A 53004-2023")</f>
        <v/>
      </c>
      <c r="AA81">
        <f>HYPERLINK("https://klasma.github.io/Logging_0561/tillsyn/A 53004-2023 tillsynsbegäran.docx", "A 53004-2023")</f>
        <v/>
      </c>
      <c r="AB81">
        <f>HYPERLINK("https://klasma.github.io/Logging_0561/tillsynsmail/A 53004-2023 tillsynsbegäran mail.docx", "A 53004-2023")</f>
        <v/>
      </c>
    </row>
    <row r="82" ht="15" customHeight="1">
      <c r="A82" t="inlineStr">
        <is>
          <t>A 58023-2025</t>
        </is>
      </c>
      <c r="B82" t="inlineStr">
        <is>
          <t>avverkningsanmälan</t>
        </is>
      </c>
      <c r="C82" t="inlineStr">
        <is>
          <t>Föryngringsavverkning</t>
        </is>
      </c>
      <c r="D82" s="1" t="n">
        <v>45982</v>
      </c>
      <c r="E82" s="1" t="n">
        <v>46216</v>
      </c>
      <c r="F82" t="inlineStr">
        <is>
          <t>ÖSTERGÖTLANDS LÄN</t>
        </is>
      </c>
      <c r="G82" t="inlineStr">
        <is>
          <t>ÅTVIDABERG</t>
        </is>
      </c>
      <c r="I82" t="n">
        <v>0.8</v>
      </c>
      <c r="J82" t="n">
        <v>1</v>
      </c>
      <c r="K82" t="n">
        <v>0</v>
      </c>
      <c r="L82" t="n">
        <v>0</v>
      </c>
      <c r="M82" t="n">
        <v>0</v>
      </c>
      <c r="N82" t="n">
        <v>0</v>
      </c>
      <c r="O82" t="n">
        <v>0</v>
      </c>
      <c r="P82" t="n">
        <v>0</v>
      </c>
      <c r="Q82" t="n">
        <v>0</v>
      </c>
      <c r="R82" t="n">
        <v>0</v>
      </c>
      <c r="S82" t="n">
        <v>1</v>
      </c>
      <c r="T82" t="n">
        <v>1</v>
      </c>
      <c r="U82" s="2" t="inlineStr">
        <is>
          <t>Havsörn</t>
        </is>
      </c>
      <c r="V82">
        <f>HYPERLINK("https://klasma.github.io/Logging_0561/artfynd/A 58023-2025 artfynd.xlsx", "A 58023-2025")</f>
        <v/>
      </c>
      <c r="W82">
        <f>HYPERLINK("https://klasma.github.io/Logging_0561/kartor/A 58023-2025 karta.png", "A 58023-2025")</f>
        <v/>
      </c>
      <c r="Y82">
        <f>HYPERLINK("https://klasma.github.io/Logging_0561/klagomål/A 58023-2025 FSC-klagomål.docx", "A 58023-2025")</f>
        <v/>
      </c>
      <c r="Z82">
        <f>HYPERLINK("https://klasma.github.io/Logging_0561/klagomålsmail/A 58023-2025 FSC-klagomål mail.docx", "A 58023-2025")</f>
        <v/>
      </c>
      <c r="AA82">
        <f>HYPERLINK("https://klasma.github.io/Logging_0561/tillsyn/A 58023-2025 tillsynsbegäran.docx", "A 58023-2025")</f>
        <v/>
      </c>
      <c r="AB82">
        <f>HYPERLINK("https://klasma.github.io/Logging_0561/tillsynsmail/A 58023-2025 tillsynsbegäran mail.docx", "A 58023-2025")</f>
        <v/>
      </c>
      <c r="AC82">
        <f>HYPERLINK("https://klasma.github.io/Logging_0561/fåglar/A 58023-2025 prioriterade fågelarter.docx", "A 58023-2025")</f>
        <v/>
      </c>
    </row>
    <row r="83" ht="15" customHeight="1">
      <c r="A83" t="inlineStr">
        <is>
          <t>A 42468-2024</t>
        </is>
      </c>
      <c r="B83" t="inlineStr">
        <is>
          <t>avverkningsanmälan</t>
        </is>
      </c>
      <c r="C83" t="inlineStr">
        <is>
          <t>Föryngringsavverkning</t>
        </is>
      </c>
      <c r="D83" s="1" t="n">
        <v>45565</v>
      </c>
      <c r="E83" s="1" t="n">
        <v>46216</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s="2" t="inlineStr">
        <is>
          <t>Tallticka</t>
        </is>
      </c>
      <c r="V83">
        <f>HYPERLINK("https://klasma.github.io/Logging_0561/artfynd/A 42468-2024 artfynd.xlsx", "A 42468-2024")</f>
        <v/>
      </c>
      <c r="W83">
        <f>HYPERLINK("https://klasma.github.io/Logging_0561/kartor/A 42468-2024 karta.png", "A 42468-2024")</f>
        <v/>
      </c>
      <c r="Y83">
        <f>HYPERLINK("https://klasma.github.io/Logging_0561/klagomål/A 42468-2024 FSC-klagomål.docx", "A 42468-2024")</f>
        <v/>
      </c>
      <c r="Z83">
        <f>HYPERLINK("https://klasma.github.io/Logging_0561/klagomålsmail/A 42468-2024 FSC-klagomål mail.docx", "A 42468-2024")</f>
        <v/>
      </c>
      <c r="AA83">
        <f>HYPERLINK("https://klasma.github.io/Logging_0561/tillsyn/A 42468-2024 tillsynsbegäran.docx", "A 42468-2024")</f>
        <v/>
      </c>
      <c r="AB83">
        <f>HYPERLINK("https://klasma.github.io/Logging_0561/tillsynsmail/A 42468-2024 tillsynsbegäran mail.docx", "A 42468-2024")</f>
        <v/>
      </c>
    </row>
    <row r="84" ht="15" customHeight="1">
      <c r="A84" t="inlineStr">
        <is>
          <t>A 22415-2026</t>
        </is>
      </c>
      <c r="B84" t="inlineStr">
        <is>
          <t>avverkningsanmälan</t>
        </is>
      </c>
      <c r="C84" t="inlineStr">
        <is>
          <t>Föryngringsavverkning</t>
        </is>
      </c>
      <c r="D84" s="1" t="n">
        <v>46154</v>
      </c>
      <c r="E84" s="1" t="n">
        <v>46216</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s="2" t="inlineStr">
        <is>
          <t>Månlåsbräken</t>
        </is>
      </c>
      <c r="V84">
        <f>HYPERLINK("https://klasma.github.io/Logging_0561/artfynd/A 22415-2026 artfynd.xlsx", "A 22415-2026")</f>
        <v/>
      </c>
      <c r="W84">
        <f>HYPERLINK("https://klasma.github.io/Logging_0561/kartor/A 22415-2026 karta.png", "A 22415-2026")</f>
        <v/>
      </c>
      <c r="Y84">
        <f>HYPERLINK("https://klasma.github.io/Logging_0561/klagomål/A 22415-2026 FSC-klagomål.docx", "A 22415-2026")</f>
        <v/>
      </c>
      <c r="Z84">
        <f>HYPERLINK("https://klasma.github.io/Logging_0561/klagomålsmail/A 22415-2026 FSC-klagomål mail.docx", "A 22415-2026")</f>
        <v/>
      </c>
      <c r="AA84">
        <f>HYPERLINK("https://klasma.github.io/Logging_0561/tillsyn/A 22415-2026 tillsynsbegäran.docx", "A 22415-2026")</f>
        <v/>
      </c>
      <c r="AB84">
        <f>HYPERLINK("https://klasma.github.io/Logging_0561/tillsynsmail/A 22415-2026 tillsynsbegäran mail.docx", "A 22415-2026")</f>
        <v/>
      </c>
    </row>
    <row r="85" ht="15" customHeight="1">
      <c r="A85" t="inlineStr">
        <is>
          <t>A 12508-2024</t>
        </is>
      </c>
      <c r="B85" t="inlineStr">
        <is>
          <t>avverkningsanmälan</t>
        </is>
      </c>
      <c r="C85" t="inlineStr">
        <is>
          <t>Föryngringsavverkning</t>
        </is>
      </c>
      <c r="D85" s="1" t="n">
        <v>45379</v>
      </c>
      <c r="E85" s="1" t="n">
        <v>46216</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s="2" t="inlineStr">
        <is>
          <t>Ekoxe</t>
        </is>
      </c>
      <c r="V85">
        <f>HYPERLINK("https://klasma.github.io/Logging_0561/artfynd/A 12508-2024 artfynd.xlsx", "A 12508-2024")</f>
        <v/>
      </c>
      <c r="W85">
        <f>HYPERLINK("https://klasma.github.io/Logging_0561/kartor/A 12508-2024 karta.png", "A 12508-2024")</f>
        <v/>
      </c>
      <c r="Y85">
        <f>HYPERLINK("https://klasma.github.io/Logging_0561/klagomål/A 12508-2024 FSC-klagomål.docx", "A 12508-2024")</f>
        <v/>
      </c>
      <c r="Z85">
        <f>HYPERLINK("https://klasma.github.io/Logging_0561/klagomålsmail/A 12508-2024 FSC-klagomål mail.docx", "A 12508-2024")</f>
        <v/>
      </c>
      <c r="AA85">
        <f>HYPERLINK("https://klasma.github.io/Logging_0561/tillsyn/A 12508-2024 tillsynsbegäran.docx", "A 12508-2024")</f>
        <v/>
      </c>
      <c r="AB85">
        <f>HYPERLINK("https://klasma.github.io/Logging_0561/tillsynsmail/A 12508-2024 tillsynsbegäran mail.docx", "A 12508-2024")</f>
        <v/>
      </c>
    </row>
    <row r="86" ht="15" customHeight="1">
      <c r="A86" t="inlineStr">
        <is>
          <t>A 11544-2025</t>
        </is>
      </c>
      <c r="B86" t="inlineStr">
        <is>
          <t>avverkningsanmälan</t>
        </is>
      </c>
      <c r="C86" t="inlineStr">
        <is>
          <t>Föryngringsavverkning</t>
        </is>
      </c>
      <c r="D86" s="1" t="n">
        <v>45727</v>
      </c>
      <c r="E86" s="1" t="n">
        <v>46216</v>
      </c>
      <c r="F86" t="inlineStr">
        <is>
          <t>ÖSTERGÖTLANDS LÄN</t>
        </is>
      </c>
      <c r="G86" t="inlineStr">
        <is>
          <t>ÅTVIDABERG</t>
        </is>
      </c>
      <c r="I86" t="n">
        <v>4.8</v>
      </c>
      <c r="J86" t="n">
        <v>1</v>
      </c>
      <c r="K86" t="n">
        <v>0</v>
      </c>
      <c r="L86" t="n">
        <v>0</v>
      </c>
      <c r="M86" t="n">
        <v>0</v>
      </c>
      <c r="N86" t="n">
        <v>0</v>
      </c>
      <c r="O86" t="n">
        <v>0</v>
      </c>
      <c r="P86" t="n">
        <v>0</v>
      </c>
      <c r="Q86" t="n">
        <v>0</v>
      </c>
      <c r="R86" t="n">
        <v>0</v>
      </c>
      <c r="S86" t="n">
        <v>1</v>
      </c>
      <c r="T86" t="n">
        <v>1</v>
      </c>
      <c r="U86" s="2" t="inlineStr">
        <is>
          <t>Revlummer</t>
        </is>
      </c>
      <c r="V86">
        <f>HYPERLINK("https://klasma.github.io/Logging_0561/artfynd/A 11544-2025 artfynd.xlsx", "A 11544-2025")</f>
        <v/>
      </c>
      <c r="W86">
        <f>HYPERLINK("https://klasma.github.io/Logging_0561/kartor/A 11544-2025 karta.png", "A 11544-2025")</f>
        <v/>
      </c>
      <c r="Y86">
        <f>HYPERLINK("https://klasma.github.io/Logging_0561/klagomål/A 11544-2025 FSC-klagomål.docx", "A 11544-2025")</f>
        <v/>
      </c>
      <c r="Z86">
        <f>HYPERLINK("https://klasma.github.io/Logging_0561/klagomålsmail/A 11544-2025 FSC-klagomål mail.docx", "A 11544-2025")</f>
        <v/>
      </c>
      <c r="AA86">
        <f>HYPERLINK("https://klasma.github.io/Logging_0561/tillsyn/A 11544-2025 tillsynsbegäran.docx", "A 11544-2025")</f>
        <v/>
      </c>
      <c r="AB86">
        <f>HYPERLINK("https://klasma.github.io/Logging_0561/tillsynsmail/A 11544-2025 tillsynsbegäran mail.docx", "A 11544-2025")</f>
        <v/>
      </c>
    </row>
    <row r="87" ht="15" customHeight="1">
      <c r="A87" t="inlineStr">
        <is>
          <t>A 26240-2024</t>
        </is>
      </c>
      <c r="B87" t="inlineStr">
        <is>
          <t>avverkningsanmälan</t>
        </is>
      </c>
      <c r="C87" t="inlineStr">
        <is>
          <t>Avverkning för annat ändamål</t>
        </is>
      </c>
      <c r="D87" s="1" t="n">
        <v>45468</v>
      </c>
      <c r="E87" s="1" t="n">
        <v>46216</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s="2" t="inlineStr">
        <is>
          <t>Revlummer</t>
        </is>
      </c>
      <c r="V87">
        <f>HYPERLINK("https://klasma.github.io/Logging_0561/artfynd/A 26240-2024 artfynd.xlsx", "A 26240-2024")</f>
        <v/>
      </c>
      <c r="W87">
        <f>HYPERLINK("https://klasma.github.io/Logging_0561/kartor/A 26240-2024 karta.png", "A 26240-2024")</f>
        <v/>
      </c>
      <c r="Y87">
        <f>HYPERLINK("https://klasma.github.io/Logging_0561/klagomål/A 26240-2024 FSC-klagomål.docx", "A 26240-2024")</f>
        <v/>
      </c>
      <c r="Z87">
        <f>HYPERLINK("https://klasma.github.io/Logging_0561/klagomålsmail/A 26240-2024 FSC-klagomål mail.docx", "A 26240-2024")</f>
        <v/>
      </c>
      <c r="AA87">
        <f>HYPERLINK("https://klasma.github.io/Logging_0561/tillsyn/A 26240-2024 tillsynsbegäran.docx", "A 26240-2024")</f>
        <v/>
      </c>
      <c r="AB87">
        <f>HYPERLINK("https://klasma.github.io/Logging_0561/tillsynsmail/A 26240-2024 tillsynsbegäran mail.docx", "A 26240-2024")</f>
        <v/>
      </c>
    </row>
    <row r="88" ht="15" customHeight="1">
      <c r="A88" t="inlineStr">
        <is>
          <t>A 4006-2024</t>
        </is>
      </c>
      <c r="B88" t="inlineStr">
        <is>
          <t>avverkningsanmälan</t>
        </is>
      </c>
      <c r="C88" t="inlineStr">
        <is>
          <t>Föryngringsavverkning</t>
        </is>
      </c>
      <c r="D88" s="1" t="n">
        <v>45323</v>
      </c>
      <c r="E88" s="1" t="n">
        <v>46216</v>
      </c>
      <c r="F88" t="inlineStr">
        <is>
          <t>ÖSTERGÖTLANDS LÄN</t>
        </is>
      </c>
      <c r="G88" t="inlineStr">
        <is>
          <t>ÅTVIDABERG</t>
        </is>
      </c>
      <c r="I88" t="n">
        <v>1.8</v>
      </c>
      <c r="J88" t="n">
        <v>0</v>
      </c>
      <c r="K88" t="n">
        <v>0</v>
      </c>
      <c r="L88" t="n">
        <v>0</v>
      </c>
      <c r="M88" t="n">
        <v>1</v>
      </c>
      <c r="N88" t="n">
        <v>0</v>
      </c>
      <c r="O88" t="n">
        <v>0</v>
      </c>
      <c r="P88" t="n">
        <v>0</v>
      </c>
      <c r="Q88" t="n">
        <v>1</v>
      </c>
      <c r="R88" t="n">
        <v>1</v>
      </c>
      <c r="S88" t="n">
        <v>1</v>
      </c>
      <c r="T88" t="n">
        <v>1</v>
      </c>
      <c r="U88" s="2" t="inlineStr">
        <is>
          <t>Mörkstiftig hällfibbla</t>
        </is>
      </c>
      <c r="V88">
        <f>HYPERLINK("https://klasma.github.io/Logging_0561/artfynd/A 4006-2024 artfynd.xlsx", "A 4006-2024")</f>
        <v/>
      </c>
      <c r="W88">
        <f>HYPERLINK("https://klasma.github.io/Logging_0561/kartor/A 4006-2024 karta.png", "A 4006-2024")</f>
        <v/>
      </c>
      <c r="Y88">
        <f>HYPERLINK("https://klasma.github.io/Logging_0561/klagomål/A 4006-2024 FSC-klagomål.docx", "A 4006-2024")</f>
        <v/>
      </c>
      <c r="Z88">
        <f>HYPERLINK("https://klasma.github.io/Logging_0561/klagomålsmail/A 4006-2024 FSC-klagomål mail.docx", "A 4006-2024")</f>
        <v/>
      </c>
      <c r="AA88">
        <f>HYPERLINK("https://klasma.github.io/Logging_0561/tillsyn/A 4006-2024 tillsynsbegäran.docx", "A 4006-2024")</f>
        <v/>
      </c>
      <c r="AB88">
        <f>HYPERLINK("https://klasma.github.io/Logging_0561/tillsynsmail/A 4006-2024 tillsynsbegäran mail.docx", "A 4006-2024")</f>
        <v/>
      </c>
    </row>
    <row r="89" ht="15" customHeight="1">
      <c r="A89" t="inlineStr">
        <is>
          <t>A 3143-2022</t>
        </is>
      </c>
      <c r="B89" t="inlineStr">
        <is>
          <t>avverkningsanmälan</t>
        </is>
      </c>
      <c r="C89" t="inlineStr">
        <is>
          <t>Föryngringsavverkning</t>
        </is>
      </c>
      <c r="D89" s="1" t="n">
        <v>44582</v>
      </c>
      <c r="E89" s="1" t="n">
        <v>46216</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s="2" t="inlineStr"/>
    </row>
    <row r="90" ht="15" customHeight="1">
      <c r="A90" t="inlineStr">
        <is>
          <t>A 44129-2021</t>
        </is>
      </c>
      <c r="B90" t="inlineStr">
        <is>
          <t>avverkningsanmälan</t>
        </is>
      </c>
      <c r="C90" t="inlineStr">
        <is>
          <t>Föryngringsavverkning</t>
        </is>
      </c>
      <c r="D90" s="1" t="n">
        <v>44434</v>
      </c>
      <c r="E90" s="1" t="n">
        <v>46216</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s="2" t="inlineStr"/>
    </row>
    <row r="91" ht="15" customHeight="1">
      <c r="A91" t="inlineStr">
        <is>
          <t>A 40046-2021</t>
        </is>
      </c>
      <c r="B91" t="inlineStr">
        <is>
          <t>avverkningsanmälan</t>
        </is>
      </c>
      <c r="C91" t="inlineStr">
        <is>
          <t>Föryngringsavverkning</t>
        </is>
      </c>
      <c r="D91" s="1" t="n">
        <v>44418</v>
      </c>
      <c r="E91" s="1" t="n">
        <v>46216</v>
      </c>
      <c r="F91" t="inlineStr">
        <is>
          <t>ÖSTERGÖTLANDS LÄN</t>
        </is>
      </c>
      <c r="G91" t="inlineStr">
        <is>
          <t>ÅTVIDABERG</t>
        </is>
      </c>
      <c r="I91" t="n">
        <v>4</v>
      </c>
      <c r="J91" t="n">
        <v>0</v>
      </c>
      <c r="K91" t="n">
        <v>0</v>
      </c>
      <c r="L91" t="n">
        <v>0</v>
      </c>
      <c r="M91" t="n">
        <v>0</v>
      </c>
      <c r="N91" t="n">
        <v>0</v>
      </c>
      <c r="O91" t="n">
        <v>0</v>
      </c>
      <c r="P91" t="n">
        <v>0</v>
      </c>
      <c r="Q91" t="n">
        <v>0</v>
      </c>
      <c r="R91" t="n">
        <v>0</v>
      </c>
      <c r="S91" t="n">
        <v>0</v>
      </c>
      <c r="T91" t="n">
        <v>0</v>
      </c>
      <c r="U91" s="2" t="inlineStr"/>
    </row>
    <row r="92" ht="15" customHeight="1">
      <c r="A92" t="inlineStr">
        <is>
          <t>A 12655-2022</t>
        </is>
      </c>
      <c r="B92" t="inlineStr">
        <is>
          <t>avverkningsanmälan</t>
        </is>
      </c>
      <c r="C92" t="inlineStr">
        <is>
          <t>Föryngringsavverkning</t>
        </is>
      </c>
      <c r="D92" s="1" t="n">
        <v>44641</v>
      </c>
      <c r="E92" s="1" t="n">
        <v>46216</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s="2" t="inlineStr"/>
    </row>
    <row r="93" ht="15" customHeight="1">
      <c r="A93" t="inlineStr">
        <is>
          <t>A 41364-2022</t>
        </is>
      </c>
      <c r="B93" t="inlineStr">
        <is>
          <t>avverkningsanmälan</t>
        </is>
      </c>
      <c r="C93" t="inlineStr">
        <is>
          <t>Föryngringsavverkning</t>
        </is>
      </c>
      <c r="D93" s="1" t="n">
        <v>44826</v>
      </c>
      <c r="E93" s="1" t="n">
        <v>46216</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s="2" t="inlineStr"/>
    </row>
    <row r="94" ht="15" customHeight="1">
      <c r="A94" t="inlineStr">
        <is>
          <t>A 71791-2021</t>
        </is>
      </c>
      <c r="B94" t="inlineStr">
        <is>
          <t>avverkningsanmälan</t>
        </is>
      </c>
      <c r="C94" t="inlineStr">
        <is>
          <t>Avverkning för annat ändamål</t>
        </is>
      </c>
      <c r="D94" s="1" t="n">
        <v>44539</v>
      </c>
      <c r="E94" s="1" t="n">
        <v>46216</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s="2" t="inlineStr"/>
    </row>
    <row r="95" ht="15" customHeight="1">
      <c r="A95" t="inlineStr">
        <is>
          <t>A 39776-2021</t>
        </is>
      </c>
      <c r="B95" t="inlineStr">
        <is>
          <t>avverkningsanmälan</t>
        </is>
      </c>
      <c r="C95" t="inlineStr">
        <is>
          <t>Föryngringsavverkning</t>
        </is>
      </c>
      <c r="D95" s="1" t="n">
        <v>44417</v>
      </c>
      <c r="E95" s="1" t="n">
        <v>46216</v>
      </c>
      <c r="F95" t="inlineStr">
        <is>
          <t>ÖSTERGÖTLANDS LÄN</t>
        </is>
      </c>
      <c r="G95" t="inlineStr">
        <is>
          <t>ÅTVIDABERG</t>
        </is>
      </c>
      <c r="I95" t="n">
        <v>6.2</v>
      </c>
      <c r="J95" t="n">
        <v>0</v>
      </c>
      <c r="K95" t="n">
        <v>0</v>
      </c>
      <c r="L95" t="n">
        <v>0</v>
      </c>
      <c r="M95" t="n">
        <v>0</v>
      </c>
      <c r="N95" t="n">
        <v>0</v>
      </c>
      <c r="O95" t="n">
        <v>0</v>
      </c>
      <c r="P95" t="n">
        <v>0</v>
      </c>
      <c r="Q95" t="n">
        <v>0</v>
      </c>
      <c r="R95" t="n">
        <v>0</v>
      </c>
      <c r="S95" t="n">
        <v>0</v>
      </c>
      <c r="T95" t="n">
        <v>0</v>
      </c>
      <c r="U95" s="2" t="inlineStr"/>
    </row>
    <row r="96" ht="15" customHeight="1">
      <c r="A96" t="inlineStr">
        <is>
          <t>A 72716-2021</t>
        </is>
      </c>
      <c r="B96" t="inlineStr">
        <is>
          <t>avverkningsanmälan</t>
        </is>
      </c>
      <c r="C96" t="inlineStr">
        <is>
          <t>Föryngringsavverkning</t>
        </is>
      </c>
      <c r="D96" s="1" t="n">
        <v>44546</v>
      </c>
      <c r="E96" s="1" t="n">
        <v>46216</v>
      </c>
      <c r="F96" t="inlineStr">
        <is>
          <t>ÖSTERGÖTLANDS LÄN</t>
        </is>
      </c>
      <c r="G96" t="inlineStr">
        <is>
          <t>ÅTVIDABERG</t>
        </is>
      </c>
      <c r="H96" t="inlineStr">
        <is>
          <t>Holmen skog AB</t>
        </is>
      </c>
      <c r="I96" t="n">
        <v>1.8</v>
      </c>
      <c r="J96" t="n">
        <v>0</v>
      </c>
      <c r="K96" t="n">
        <v>0</v>
      </c>
      <c r="L96" t="n">
        <v>0</v>
      </c>
      <c r="M96" t="n">
        <v>0</v>
      </c>
      <c r="N96" t="n">
        <v>0</v>
      </c>
      <c r="O96" t="n">
        <v>0</v>
      </c>
      <c r="P96" t="n">
        <v>0</v>
      </c>
      <c r="Q96" t="n">
        <v>0</v>
      </c>
      <c r="R96" t="n">
        <v>0</v>
      </c>
      <c r="S96" t="n">
        <v>0</v>
      </c>
      <c r="T96" t="n">
        <v>0</v>
      </c>
      <c r="U96" s="2" t="inlineStr"/>
    </row>
    <row r="97" ht="15" customHeight="1">
      <c r="A97" t="inlineStr">
        <is>
          <t>A 54539-2021</t>
        </is>
      </c>
      <c r="B97" t="inlineStr">
        <is>
          <t>avverkningsanmälan</t>
        </is>
      </c>
      <c r="C97" t="inlineStr">
        <is>
          <t>Föryngringsavverkning</t>
        </is>
      </c>
      <c r="D97" s="1" t="n">
        <v>44473</v>
      </c>
      <c r="E97" s="1" t="n">
        <v>46216</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s="2" t="inlineStr"/>
    </row>
    <row r="98" ht="15" customHeight="1">
      <c r="A98" t="inlineStr">
        <is>
          <t>A 56255-2021</t>
        </is>
      </c>
      <c r="B98" t="inlineStr">
        <is>
          <t>avverkningsanmälan</t>
        </is>
      </c>
      <c r="C98" t="inlineStr">
        <is>
          <t>Föryngringsavverkning</t>
        </is>
      </c>
      <c r="D98" s="1" t="n">
        <v>44479</v>
      </c>
      <c r="E98" s="1" t="n">
        <v>46216</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s="2" t="inlineStr"/>
    </row>
    <row r="99" ht="15" customHeight="1">
      <c r="A99" t="inlineStr">
        <is>
          <t>A 53082-2021</t>
        </is>
      </c>
      <c r="B99" t="inlineStr">
        <is>
          <t>avverkningsanmälan</t>
        </is>
      </c>
      <c r="C99" t="inlineStr">
        <is>
          <t>Föryngringsavverkning</t>
        </is>
      </c>
      <c r="D99" s="1" t="n">
        <v>44467</v>
      </c>
      <c r="E99" s="1" t="n">
        <v>46216</v>
      </c>
      <c r="F99" t="inlineStr">
        <is>
          <t>ÖSTERGÖTLANDS LÄN</t>
        </is>
      </c>
      <c r="G99" t="inlineStr">
        <is>
          <t>ÅTVIDABERG</t>
        </is>
      </c>
      <c r="I99" t="n">
        <v>1</v>
      </c>
      <c r="J99" t="n">
        <v>0</v>
      </c>
      <c r="K99" t="n">
        <v>0</v>
      </c>
      <c r="L99" t="n">
        <v>0</v>
      </c>
      <c r="M99" t="n">
        <v>0</v>
      </c>
      <c r="N99" t="n">
        <v>0</v>
      </c>
      <c r="O99" t="n">
        <v>0</v>
      </c>
      <c r="P99" t="n">
        <v>0</v>
      </c>
      <c r="Q99" t="n">
        <v>0</v>
      </c>
      <c r="R99" t="n">
        <v>0</v>
      </c>
      <c r="S99" t="n">
        <v>0</v>
      </c>
      <c r="T99" t="n">
        <v>0</v>
      </c>
      <c r="U99" s="2" t="inlineStr"/>
    </row>
    <row r="100" ht="15" customHeight="1">
      <c r="A100" t="inlineStr">
        <is>
          <t>A 41577-2022</t>
        </is>
      </c>
      <c r="B100" t="inlineStr">
        <is>
          <t>avverkningsanmälan</t>
        </is>
      </c>
      <c r="C100" t="inlineStr">
        <is>
          <t>Föryngringsavverkning</t>
        </is>
      </c>
      <c r="D100" s="1" t="n">
        <v>44827</v>
      </c>
      <c r="E100" s="1" t="n">
        <v>46216</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1350-2022</t>
        </is>
      </c>
      <c r="B101" t="inlineStr">
        <is>
          <t>avverkningsanmälan</t>
        </is>
      </c>
      <c r="C101" t="inlineStr">
        <is>
          <t>Föryngringsavverkning</t>
        </is>
      </c>
      <c r="D101" s="1" t="n">
        <v>44573</v>
      </c>
      <c r="E101" s="1" t="n">
        <v>46216</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51881-2021</t>
        </is>
      </c>
      <c r="B102" t="inlineStr">
        <is>
          <t>avverkningsanmälan</t>
        </is>
      </c>
      <c r="C102" t="inlineStr">
        <is>
          <t>Föryngringsavverkning</t>
        </is>
      </c>
      <c r="D102" s="1" t="n">
        <v>44462</v>
      </c>
      <c r="E102" s="1" t="n">
        <v>46216</v>
      </c>
      <c r="F102" t="inlineStr">
        <is>
          <t>ÖSTERGÖTLANDS LÄN</t>
        </is>
      </c>
      <c r="G102" t="inlineStr">
        <is>
          <t>ÅTVIDABERG</t>
        </is>
      </c>
      <c r="I102" t="n">
        <v>3.6</v>
      </c>
      <c r="J102" t="n">
        <v>0</v>
      </c>
      <c r="K102" t="n">
        <v>0</v>
      </c>
      <c r="L102" t="n">
        <v>0</v>
      </c>
      <c r="M102" t="n">
        <v>0</v>
      </c>
      <c r="N102" t="n">
        <v>0</v>
      </c>
      <c r="O102" t="n">
        <v>0</v>
      </c>
      <c r="P102" t="n">
        <v>0</v>
      </c>
      <c r="Q102" t="n">
        <v>0</v>
      </c>
      <c r="R102" t="n">
        <v>0</v>
      </c>
      <c r="S102" t="n">
        <v>0</v>
      </c>
      <c r="T102" t="n">
        <v>0</v>
      </c>
      <c r="U102" s="2" t="inlineStr"/>
    </row>
    <row r="103" ht="15" customHeight="1">
      <c r="A103" t="inlineStr">
        <is>
          <t>A 52773-2021</t>
        </is>
      </c>
      <c r="B103" t="inlineStr">
        <is>
          <t>avverkningsanmälan</t>
        </is>
      </c>
      <c r="C103" t="inlineStr">
        <is>
          <t>Föryngringsavverkning</t>
        </is>
      </c>
      <c r="D103" s="1" t="n">
        <v>44467</v>
      </c>
      <c r="E103" s="1" t="n">
        <v>46216</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60527-2021</t>
        </is>
      </c>
      <c r="B104" t="inlineStr">
        <is>
          <t>avverkningsanmälan</t>
        </is>
      </c>
      <c r="C104" t="inlineStr">
        <is>
          <t>Föryngringsavverkning</t>
        </is>
      </c>
      <c r="D104" s="1" t="n">
        <v>44495</v>
      </c>
      <c r="E104" s="1" t="n">
        <v>46216</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32416-2022</t>
        </is>
      </c>
      <c r="B105" t="inlineStr">
        <is>
          <t>avverkningsanmälan</t>
        </is>
      </c>
      <c r="C105" t="inlineStr">
        <is>
          <t>Föryngringsavverkning</t>
        </is>
      </c>
      <c r="D105" s="1" t="n">
        <v>44782</v>
      </c>
      <c r="E105" s="1" t="n">
        <v>46216</v>
      </c>
      <c r="F105" t="inlineStr">
        <is>
          <t>ÖSTERGÖTLANDS LÄN</t>
        </is>
      </c>
      <c r="G105" t="inlineStr">
        <is>
          <t>ÅTVIDABERG</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43504-2021</t>
        </is>
      </c>
      <c r="B106" t="inlineStr">
        <is>
          <t>avverkningsanmälan</t>
        </is>
      </c>
      <c r="C106" t="inlineStr">
        <is>
          <t>Föryngringsavverkning</t>
        </is>
      </c>
      <c r="D106" s="1" t="n">
        <v>44433</v>
      </c>
      <c r="E106" s="1" t="n">
        <v>46216</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42609-2022</t>
        </is>
      </c>
      <c r="B107" t="inlineStr">
        <is>
          <t>avverkningsanmälan</t>
        </is>
      </c>
      <c r="C107" t="inlineStr">
        <is>
          <t>Föryngringsavverkning</t>
        </is>
      </c>
      <c r="D107" s="1" t="n">
        <v>44831</v>
      </c>
      <c r="E107" s="1" t="n">
        <v>46216</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s="2" t="inlineStr"/>
    </row>
    <row r="108" ht="15" customHeight="1">
      <c r="A108" t="inlineStr">
        <is>
          <t>A 3567-2022</t>
        </is>
      </c>
      <c r="B108" t="inlineStr">
        <is>
          <t>avverkningsanmälan</t>
        </is>
      </c>
      <c r="C108" t="inlineStr">
        <is>
          <t>Föryngringsavverkning</t>
        </is>
      </c>
      <c r="D108" s="1" t="n">
        <v>44586</v>
      </c>
      <c r="E108" s="1" t="n">
        <v>46216</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25171-2022</t>
        </is>
      </c>
      <c r="B109" t="inlineStr">
        <is>
          <t>avverkningsanmälan</t>
        </is>
      </c>
      <c r="C109" t="inlineStr">
        <is>
          <t>Föryngringsavverkning</t>
        </is>
      </c>
      <c r="D109" s="1" t="n">
        <v>44729</v>
      </c>
      <c r="E109" s="1" t="n">
        <v>46216</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44083-2021</t>
        </is>
      </c>
      <c r="B110" t="inlineStr">
        <is>
          <t>avverkningsanmälan</t>
        </is>
      </c>
      <c r="C110" t="inlineStr">
        <is>
          <t>Föryngringsavverkning</t>
        </is>
      </c>
      <c r="D110" s="1" t="n">
        <v>44434</v>
      </c>
      <c r="E110" s="1" t="n">
        <v>46216</v>
      </c>
      <c r="F110" t="inlineStr">
        <is>
          <t>ÖSTERGÖTLANDS LÄN</t>
        </is>
      </c>
      <c r="G110" t="inlineStr">
        <is>
          <t>ÅTVIDABERG</t>
        </is>
      </c>
      <c r="I110" t="n">
        <v>4.2</v>
      </c>
      <c r="J110" t="n">
        <v>0</v>
      </c>
      <c r="K110" t="n">
        <v>0</v>
      </c>
      <c r="L110" t="n">
        <v>0</v>
      </c>
      <c r="M110" t="n">
        <v>0</v>
      </c>
      <c r="N110" t="n">
        <v>0</v>
      </c>
      <c r="O110" t="n">
        <v>0</v>
      </c>
      <c r="P110" t="n">
        <v>0</v>
      </c>
      <c r="Q110" t="n">
        <v>0</v>
      </c>
      <c r="R110" t="n">
        <v>0</v>
      </c>
      <c r="S110" t="n">
        <v>0</v>
      </c>
      <c r="T110" t="n">
        <v>0</v>
      </c>
      <c r="U110" s="2" t="inlineStr"/>
    </row>
    <row r="111" ht="15" customHeight="1">
      <c r="A111" t="inlineStr">
        <is>
          <t>A 52743-2021</t>
        </is>
      </c>
      <c r="B111" t="inlineStr">
        <is>
          <t>avverkningsanmälan</t>
        </is>
      </c>
      <c r="C111" t="inlineStr">
        <is>
          <t>Föryngringsavverkning</t>
        </is>
      </c>
      <c r="D111" s="1" t="n">
        <v>44467</v>
      </c>
      <c r="E111" s="1" t="n">
        <v>46216</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56262-2021</t>
        </is>
      </c>
      <c r="B112" t="inlineStr">
        <is>
          <t>avverkningsanmälan</t>
        </is>
      </c>
      <c r="C112" t="inlineStr">
        <is>
          <t>Föryngringsavverkning</t>
        </is>
      </c>
      <c r="D112" s="1" t="n">
        <v>44479</v>
      </c>
      <c r="E112" s="1" t="n">
        <v>46216</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45067-2021</t>
        </is>
      </c>
      <c r="B113" t="inlineStr">
        <is>
          <t>avverkningsanmälan</t>
        </is>
      </c>
      <c r="C113" t="inlineStr">
        <is>
          <t>Föryngringsavverkning</t>
        </is>
      </c>
      <c r="D113" s="1" t="n">
        <v>44439</v>
      </c>
      <c r="E113" s="1" t="n">
        <v>46216</v>
      </c>
      <c r="F113" t="inlineStr">
        <is>
          <t>ÖSTERGÖTLANDS LÄN</t>
        </is>
      </c>
      <c r="G113" t="inlineStr">
        <is>
          <t>ÅTVIDABERG</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71768-2021</t>
        </is>
      </c>
      <c r="B114" t="inlineStr">
        <is>
          <t>avverkningsanmälan</t>
        </is>
      </c>
      <c r="C114" t="inlineStr">
        <is>
          <t>Föryngringsavverkning</t>
        </is>
      </c>
      <c r="D114" s="1" t="n">
        <v>44543</v>
      </c>
      <c r="E114" s="1" t="n">
        <v>46216</v>
      </c>
      <c r="F114" t="inlineStr">
        <is>
          <t>ÖSTERGÖTLANDS LÄN</t>
        </is>
      </c>
      <c r="G114" t="inlineStr">
        <is>
          <t>ÅTVIDABERG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69343-2021</t>
        </is>
      </c>
      <c r="B115" t="inlineStr">
        <is>
          <t>avverkningsanmälan</t>
        </is>
      </c>
      <c r="C115" t="inlineStr">
        <is>
          <t>Föryngringsavverkning</t>
        </is>
      </c>
      <c r="D115" s="1" t="n">
        <v>44531</v>
      </c>
      <c r="E115" s="1" t="n">
        <v>46216</v>
      </c>
      <c r="F115" t="inlineStr">
        <is>
          <t>ÖSTERGÖTLANDS LÄN</t>
        </is>
      </c>
      <c r="G115" t="inlineStr">
        <is>
          <t>ÅTVIDABERG</t>
        </is>
      </c>
      <c r="H115" t="inlineStr">
        <is>
          <t>Övriga Aktiebolag</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73770-2021</t>
        </is>
      </c>
      <c r="B116" t="inlineStr">
        <is>
          <t>avverkningsanmälan</t>
        </is>
      </c>
      <c r="C116" t="inlineStr">
        <is>
          <t>Föryngringsavverkning</t>
        </is>
      </c>
      <c r="D116" s="1" t="n">
        <v>44552</v>
      </c>
      <c r="E116" s="1" t="n">
        <v>46216</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1356-2022</t>
        </is>
      </c>
      <c r="B117" t="inlineStr">
        <is>
          <t>avverkningsanmälan</t>
        </is>
      </c>
      <c r="C117" t="inlineStr">
        <is>
          <t>Föryngringsavverkning</t>
        </is>
      </c>
      <c r="D117" s="1" t="n">
        <v>44573</v>
      </c>
      <c r="E117" s="1" t="n">
        <v>46216</v>
      </c>
      <c r="F117" t="inlineStr">
        <is>
          <t>ÖSTERGÖTLANDS LÄN</t>
        </is>
      </c>
      <c r="G117" t="inlineStr">
        <is>
          <t>ÅTVIDABERG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4885-2022</t>
        </is>
      </c>
      <c r="B118" t="inlineStr">
        <is>
          <t>avverkningsanmälan</t>
        </is>
      </c>
      <c r="C118" t="inlineStr">
        <is>
          <t>Föryngringsavverkning</t>
        </is>
      </c>
      <c r="D118" s="1" t="n">
        <v>44593</v>
      </c>
      <c r="E118" s="1" t="n">
        <v>46216</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71788-2021</t>
        </is>
      </c>
      <c r="B119" t="inlineStr">
        <is>
          <t>avverkningsanmälan</t>
        </is>
      </c>
      <c r="C119" t="inlineStr">
        <is>
          <t>Avverkning för annat ändamål</t>
        </is>
      </c>
      <c r="D119" s="1" t="n">
        <v>44539</v>
      </c>
      <c r="E119" s="1" t="n">
        <v>46216</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43805-2022</t>
        </is>
      </c>
      <c r="B120" t="inlineStr">
        <is>
          <t>avverkningsanmälan</t>
        </is>
      </c>
      <c r="C120" t="inlineStr">
        <is>
          <t>Föryngringsavverkning</t>
        </is>
      </c>
      <c r="D120" s="1" t="n">
        <v>44838</v>
      </c>
      <c r="E120" s="1" t="n">
        <v>46216</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40563-2021</t>
        </is>
      </c>
      <c r="B121" t="inlineStr">
        <is>
          <t>avverkningsanmälan</t>
        </is>
      </c>
      <c r="C121" t="inlineStr">
        <is>
          <t>Föryngringsavverkning</t>
        </is>
      </c>
      <c r="D121" s="1" t="n">
        <v>44420</v>
      </c>
      <c r="E121" s="1" t="n">
        <v>46216</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33604-2022</t>
        </is>
      </c>
      <c r="B122" t="inlineStr">
        <is>
          <t>avverkningsanmälan</t>
        </is>
      </c>
      <c r="C122" t="inlineStr">
        <is>
          <t>Föryngringsavverkning</t>
        </is>
      </c>
      <c r="D122" s="1" t="n">
        <v>44789</v>
      </c>
      <c r="E122" s="1" t="n">
        <v>46216</v>
      </c>
      <c r="F122" t="inlineStr">
        <is>
          <t>ÖSTERGÖTLANDS LÄN</t>
        </is>
      </c>
      <c r="G122" t="inlineStr">
        <is>
          <t>ÅTVIDABERG</t>
        </is>
      </c>
      <c r="I122" t="n">
        <v>0</v>
      </c>
      <c r="J122" t="n">
        <v>0</v>
      </c>
      <c r="K122" t="n">
        <v>0</v>
      </c>
      <c r="L122" t="n">
        <v>0</v>
      </c>
      <c r="M122" t="n">
        <v>0</v>
      </c>
      <c r="N122" t="n">
        <v>0</v>
      </c>
      <c r="O122" t="n">
        <v>0</v>
      </c>
      <c r="P122" t="n">
        <v>0</v>
      </c>
      <c r="Q122" t="n">
        <v>0</v>
      </c>
      <c r="R122" t="n">
        <v>0</v>
      </c>
      <c r="S122" t="n">
        <v>0</v>
      </c>
      <c r="T122" t="n">
        <v>0</v>
      </c>
      <c r="U122" s="2" t="inlineStr"/>
    </row>
    <row r="123" ht="15" customHeight="1">
      <c r="A123" t="inlineStr">
        <is>
          <t>A 45100-2021</t>
        </is>
      </c>
      <c r="B123" t="inlineStr">
        <is>
          <t>avverkningsanmälan</t>
        </is>
      </c>
      <c r="C123" t="inlineStr">
        <is>
          <t>Föryngringsavverkning</t>
        </is>
      </c>
      <c r="D123" s="1" t="n">
        <v>44439</v>
      </c>
      <c r="E123" s="1" t="n">
        <v>46216</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51704-2021</t>
        </is>
      </c>
      <c r="B124" t="inlineStr">
        <is>
          <t>avverkningsanmälan</t>
        </is>
      </c>
      <c r="C124" t="inlineStr">
        <is>
          <t>Föryngringsavverkning</t>
        </is>
      </c>
      <c r="D124" s="1" t="n">
        <v>44462</v>
      </c>
      <c r="E124" s="1" t="n">
        <v>46216</v>
      </c>
      <c r="F124" t="inlineStr">
        <is>
          <t>ÖSTERGÖTLANDS LÄN</t>
        </is>
      </c>
      <c r="G124" t="inlineStr">
        <is>
          <t>ÅTVIDABERG</t>
        </is>
      </c>
      <c r="H124" t="inlineStr">
        <is>
          <t>Övriga Aktiebolag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10820-2022</t>
        </is>
      </c>
      <c r="B125" t="inlineStr">
        <is>
          <t>avverkningsanmälan</t>
        </is>
      </c>
      <c r="C125" t="inlineStr">
        <is>
          <t>Föryngringsavverkning</t>
        </is>
      </c>
      <c r="D125" s="1" t="n">
        <v>44627</v>
      </c>
      <c r="E125" s="1" t="n">
        <v>46216</v>
      </c>
      <c r="F125" t="inlineStr">
        <is>
          <t>ÖSTERGÖTLANDS LÄN</t>
        </is>
      </c>
      <c r="G125" t="inlineStr">
        <is>
          <t>ÅTVIDABERG</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21611-2022</t>
        </is>
      </c>
      <c r="B126" t="inlineStr">
        <is>
          <t>avverkningsanmälan</t>
        </is>
      </c>
      <c r="C126" t="inlineStr">
        <is>
          <t>Föryngringsavverkning</t>
        </is>
      </c>
      <c r="D126" s="1" t="n">
        <v>44706</v>
      </c>
      <c r="E126" s="1" t="n">
        <v>46216</v>
      </c>
      <c r="F126" t="inlineStr">
        <is>
          <t>ÖSTERGÖTLANDS LÄN</t>
        </is>
      </c>
      <c r="G126" t="inlineStr">
        <is>
          <t>ÅTVIDABERG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49461-2021</t>
        </is>
      </c>
      <c r="B127" t="inlineStr">
        <is>
          <t>avverkningsanmälan</t>
        </is>
      </c>
      <c r="C127" t="inlineStr">
        <is>
          <t>Föryngringsavverkning</t>
        </is>
      </c>
      <c r="D127" s="1" t="n">
        <v>44454</v>
      </c>
      <c r="E127" s="1" t="n">
        <v>46216</v>
      </c>
      <c r="F127" t="inlineStr">
        <is>
          <t>ÖSTERGÖTLANDS LÄN</t>
        </is>
      </c>
      <c r="G127" t="inlineStr">
        <is>
          <t>ÅTVIDABERG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33714-2022</t>
        </is>
      </c>
      <c r="B128" t="inlineStr">
        <is>
          <t>avverkningsanmälan</t>
        </is>
      </c>
      <c r="C128" t="inlineStr">
        <is>
          <t>Föryngringsavverkning</t>
        </is>
      </c>
      <c r="D128" s="1" t="n">
        <v>44789</v>
      </c>
      <c r="E128" s="1" t="n">
        <v>46216</v>
      </c>
      <c r="F128" t="inlineStr">
        <is>
          <t>ÖSTERGÖTLANDS LÄN</t>
        </is>
      </c>
      <c r="G128" t="inlineStr">
        <is>
          <t>ÅTVIDABERG</t>
        </is>
      </c>
      <c r="I128" t="n">
        <v>0.1</v>
      </c>
      <c r="J128" t="n">
        <v>0</v>
      </c>
      <c r="K128" t="n">
        <v>0</v>
      </c>
      <c r="L128" t="n">
        <v>0</v>
      </c>
      <c r="M128" t="n">
        <v>0</v>
      </c>
      <c r="N128" t="n">
        <v>0</v>
      </c>
      <c r="O128" t="n">
        <v>0</v>
      </c>
      <c r="P128" t="n">
        <v>0</v>
      </c>
      <c r="Q128" t="n">
        <v>0</v>
      </c>
      <c r="R128" t="n">
        <v>0</v>
      </c>
      <c r="S128" t="n">
        <v>0</v>
      </c>
      <c r="T128" t="n">
        <v>0</v>
      </c>
      <c r="U128" s="2" t="inlineStr"/>
    </row>
    <row r="129" ht="15" customHeight="1">
      <c r="A129" t="inlineStr">
        <is>
          <t>A 42059-2022</t>
        </is>
      </c>
      <c r="B129" t="inlineStr">
        <is>
          <t>avverkningsanmälan</t>
        </is>
      </c>
      <c r="C129" t="inlineStr">
        <is>
          <t>Föryngringsavverkning</t>
        </is>
      </c>
      <c r="D129" s="1" t="n">
        <v>44830</v>
      </c>
      <c r="E129" s="1" t="n">
        <v>46216</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52776-2021</t>
        </is>
      </c>
      <c r="B130" t="inlineStr">
        <is>
          <t>avverkningsanmälan</t>
        </is>
      </c>
      <c r="C130" t="inlineStr">
        <is>
          <t>Föryngringsavverkning</t>
        </is>
      </c>
      <c r="D130" s="1" t="n">
        <v>44467</v>
      </c>
      <c r="E130" s="1" t="n">
        <v>46216</v>
      </c>
      <c r="F130" t="inlineStr">
        <is>
          <t>ÖSTERGÖTLANDS LÄN</t>
        </is>
      </c>
      <c r="G130" t="inlineStr">
        <is>
          <t>ÅTVIDABERG</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30899-2022</t>
        </is>
      </c>
      <c r="B131" t="inlineStr">
        <is>
          <t>avverkningsanmälan</t>
        </is>
      </c>
      <c r="C131" t="inlineStr">
        <is>
          <t>Föryngringsavverkning</t>
        </is>
      </c>
      <c r="D131" s="1" t="n">
        <v>44767</v>
      </c>
      <c r="E131" s="1" t="n">
        <v>46216</v>
      </c>
      <c r="F131" t="inlineStr">
        <is>
          <t>ÖSTERGÖTLANDS LÄN</t>
        </is>
      </c>
      <c r="G131" t="inlineStr">
        <is>
          <t>ÅTVIDABERG</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48291-2021</t>
        </is>
      </c>
      <c r="B132" t="inlineStr">
        <is>
          <t>avverkningsanmälan</t>
        </is>
      </c>
      <c r="C132" t="inlineStr">
        <is>
          <t>Föryngringsavverkning</t>
        </is>
      </c>
      <c r="D132" s="1" t="n">
        <v>44449</v>
      </c>
      <c r="E132" s="1" t="n">
        <v>46216</v>
      </c>
      <c r="F132" t="inlineStr">
        <is>
          <t>ÖSTERGÖTLANDS LÄN</t>
        </is>
      </c>
      <c r="G132" t="inlineStr">
        <is>
          <t>ÅTVIDABERG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46710-2021</t>
        </is>
      </c>
      <c r="B133" t="inlineStr">
        <is>
          <t>avverkningsanmälan</t>
        </is>
      </c>
      <c r="C133" t="inlineStr">
        <is>
          <t>Föryngringsavverkning</t>
        </is>
      </c>
      <c r="D133" s="1" t="n">
        <v>44445</v>
      </c>
      <c r="E133" s="1" t="n">
        <v>46216</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17879-2022</t>
        </is>
      </c>
      <c r="B134" t="inlineStr">
        <is>
          <t>avverkningsanmälan</t>
        </is>
      </c>
      <c r="C134" t="inlineStr">
        <is>
          <t>Föryngringsavverkning</t>
        </is>
      </c>
      <c r="D134" s="1" t="n">
        <v>44683</v>
      </c>
      <c r="E134" s="1" t="n">
        <v>46216</v>
      </c>
      <c r="F134" t="inlineStr">
        <is>
          <t>ÖSTERGÖTLANDS LÄN</t>
        </is>
      </c>
      <c r="G134" t="inlineStr">
        <is>
          <t>ÅTVIDABERG</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26348-2022</t>
        </is>
      </c>
      <c r="B135" t="inlineStr">
        <is>
          <t>avverkningsanmälan</t>
        </is>
      </c>
      <c r="C135" t="inlineStr">
        <is>
          <t>Föryngringsavverkning</t>
        </is>
      </c>
      <c r="D135" s="1" t="n">
        <v>44735</v>
      </c>
      <c r="E135" s="1" t="n">
        <v>46216</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24085-2022</t>
        </is>
      </c>
      <c r="B136" t="inlineStr">
        <is>
          <t>avverkningsanmälan</t>
        </is>
      </c>
      <c r="C136" t="inlineStr">
        <is>
          <t>Föryngringsavverkning</t>
        </is>
      </c>
      <c r="D136" s="1" t="n">
        <v>44724</v>
      </c>
      <c r="E136" s="1" t="n">
        <v>46216</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32922-2022</t>
        </is>
      </c>
      <c r="B137" t="inlineStr">
        <is>
          <t>avverkningsanmälan</t>
        </is>
      </c>
      <c r="C137" t="inlineStr">
        <is>
          <t>Föryngringsavverkning</t>
        </is>
      </c>
      <c r="D137" s="1" t="n">
        <v>44784</v>
      </c>
      <c r="E137" s="1" t="n">
        <v>46216</v>
      </c>
      <c r="F137" t="inlineStr">
        <is>
          <t>ÖSTERGÖTLANDS LÄN</t>
        </is>
      </c>
      <c r="G137" t="inlineStr">
        <is>
          <t>ÅTVIDABERG</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25551-2022</t>
        </is>
      </c>
      <c r="B138" t="inlineStr">
        <is>
          <t>avverkningsanmälan</t>
        </is>
      </c>
      <c r="C138" t="inlineStr">
        <is>
          <t>Föryngringsavverkning</t>
        </is>
      </c>
      <c r="D138" s="1" t="n">
        <v>44732</v>
      </c>
      <c r="E138" s="1" t="n">
        <v>46216</v>
      </c>
      <c r="F138" t="inlineStr">
        <is>
          <t>ÖSTERGÖTLANDS LÄN</t>
        </is>
      </c>
      <c r="G138" t="inlineStr">
        <is>
          <t>ÅTVIDABERG</t>
        </is>
      </c>
      <c r="H138" t="inlineStr">
        <is>
          <t>Övriga Aktiebolag</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48977-2022</t>
        </is>
      </c>
      <c r="B139" t="inlineStr">
        <is>
          <t>avverkningsanmälan</t>
        </is>
      </c>
      <c r="C139" t="inlineStr">
        <is>
          <t>Föryngringsavverkning</t>
        </is>
      </c>
      <c r="D139" s="1" t="n">
        <v>44860</v>
      </c>
      <c r="E139" s="1" t="n">
        <v>46216</v>
      </c>
      <c r="F139" t="inlineStr">
        <is>
          <t>ÖSTERGÖTLANDS LÄN</t>
        </is>
      </c>
      <c r="G139" t="inlineStr">
        <is>
          <t>ÅTVIDABERG</t>
        </is>
      </c>
      <c r="H139" t="inlineStr">
        <is>
          <t>Holmen skog AB</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52756-2021</t>
        </is>
      </c>
      <c r="B140" t="inlineStr">
        <is>
          <t>avverkningsanmälan</t>
        </is>
      </c>
      <c r="C140" t="inlineStr">
        <is>
          <t>Föryngringsavverkning</t>
        </is>
      </c>
      <c r="D140" s="1" t="n">
        <v>44467</v>
      </c>
      <c r="E140" s="1" t="n">
        <v>46216</v>
      </c>
      <c r="F140" t="inlineStr">
        <is>
          <t>ÖSTERGÖTLANDS LÄN</t>
        </is>
      </c>
      <c r="G140" t="inlineStr">
        <is>
          <t>ÅTVIDABERG</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52763-2021</t>
        </is>
      </c>
      <c r="B141" t="inlineStr">
        <is>
          <t>avverkningsanmälan</t>
        </is>
      </c>
      <c r="C141" t="inlineStr">
        <is>
          <t>Föryngringsavverkning</t>
        </is>
      </c>
      <c r="D141" s="1" t="n">
        <v>44467</v>
      </c>
      <c r="E141" s="1" t="n">
        <v>46216</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64993-2021</t>
        </is>
      </c>
      <c r="B142" t="inlineStr">
        <is>
          <t>avverkningsanmälan</t>
        </is>
      </c>
      <c r="C142" t="inlineStr">
        <is>
          <t>Föryngringsavverkning</t>
        </is>
      </c>
      <c r="D142" s="1" t="n">
        <v>44514</v>
      </c>
      <c r="E142" s="1" t="n">
        <v>46216</v>
      </c>
      <c r="F142" t="inlineStr">
        <is>
          <t>ÖSTERGÖTLANDS LÄN</t>
        </is>
      </c>
      <c r="G142" t="inlineStr">
        <is>
          <t>ÅTVIDABERG</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72254-2021</t>
        </is>
      </c>
      <c r="B143" t="inlineStr">
        <is>
          <t>avverkningsanmälan</t>
        </is>
      </c>
      <c r="C143" t="inlineStr">
        <is>
          <t>Föryngringsavverkning</t>
        </is>
      </c>
      <c r="D143" s="1" t="n">
        <v>44545</v>
      </c>
      <c r="E143" s="1" t="n">
        <v>46216</v>
      </c>
      <c r="F143" t="inlineStr">
        <is>
          <t>ÖSTERGÖTLANDS LÄN</t>
        </is>
      </c>
      <c r="G143" t="inlineStr">
        <is>
          <t>ÅTVIDABERG</t>
        </is>
      </c>
      <c r="I143" t="n">
        <v>0.2</v>
      </c>
      <c r="J143" t="n">
        <v>0</v>
      </c>
      <c r="K143" t="n">
        <v>0</v>
      </c>
      <c r="L143" t="n">
        <v>0</v>
      </c>
      <c r="M143" t="n">
        <v>0</v>
      </c>
      <c r="N143" t="n">
        <v>0</v>
      </c>
      <c r="O143" t="n">
        <v>0</v>
      </c>
      <c r="P143" t="n">
        <v>0</v>
      </c>
      <c r="Q143" t="n">
        <v>0</v>
      </c>
      <c r="R143" t="n">
        <v>0</v>
      </c>
      <c r="S143" t="n">
        <v>0</v>
      </c>
      <c r="T143" t="n">
        <v>0</v>
      </c>
      <c r="U143" s="2" t="inlineStr"/>
    </row>
    <row r="144" ht="15" customHeight="1">
      <c r="A144" t="inlineStr">
        <is>
          <t>A 25168-2022</t>
        </is>
      </c>
      <c r="B144" t="inlineStr">
        <is>
          <t>avverkningsanmälan</t>
        </is>
      </c>
      <c r="C144" t="inlineStr">
        <is>
          <t>Föryngringsavverkning</t>
        </is>
      </c>
      <c r="D144" s="1" t="n">
        <v>44729</v>
      </c>
      <c r="E144" s="1" t="n">
        <v>46216</v>
      </c>
      <c r="F144" t="inlineStr">
        <is>
          <t>ÖSTERGÖTLANDS LÄN</t>
        </is>
      </c>
      <c r="G144" t="inlineStr">
        <is>
          <t>ÅTVIDABERG</t>
        </is>
      </c>
      <c r="H144" t="inlineStr">
        <is>
          <t>Sveaskog</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30321-2022</t>
        </is>
      </c>
      <c r="B145" t="inlineStr">
        <is>
          <t>avverkningsanmälan</t>
        </is>
      </c>
      <c r="C145" t="inlineStr">
        <is>
          <t>Föryngringsavverkning</t>
        </is>
      </c>
      <c r="D145" s="1" t="n">
        <v>44760</v>
      </c>
      <c r="E145" s="1" t="n">
        <v>46216</v>
      </c>
      <c r="F145" t="inlineStr">
        <is>
          <t>ÖSTERGÖTLANDS LÄN</t>
        </is>
      </c>
      <c r="G145" t="inlineStr">
        <is>
          <t>ÅTVIDABERG</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41440-2021</t>
        </is>
      </c>
      <c r="B146" t="inlineStr">
        <is>
          <t>avverkningsanmälan</t>
        </is>
      </c>
      <c r="C146" t="inlineStr">
        <is>
          <t>Föryngringsavverkning</t>
        </is>
      </c>
      <c r="D146" s="1" t="n">
        <v>44424</v>
      </c>
      <c r="E146" s="1" t="n">
        <v>46216</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32067-2022</t>
        </is>
      </c>
      <c r="B147" t="inlineStr">
        <is>
          <t>avverkningsanmälan</t>
        </is>
      </c>
      <c r="C147" t="inlineStr">
        <is>
          <t>Föryngringsavverkning</t>
        </is>
      </c>
      <c r="D147" s="1" t="n">
        <v>44778</v>
      </c>
      <c r="E147" s="1" t="n">
        <v>46216</v>
      </c>
      <c r="F147" t="inlineStr">
        <is>
          <t>ÖSTERGÖTLANDS LÄN</t>
        </is>
      </c>
      <c r="G147" t="inlineStr">
        <is>
          <t>ÅTVIDABERG</t>
        </is>
      </c>
      <c r="I147" t="n">
        <v>0.3</v>
      </c>
      <c r="J147" t="n">
        <v>0</v>
      </c>
      <c r="K147" t="n">
        <v>0</v>
      </c>
      <c r="L147" t="n">
        <v>0</v>
      </c>
      <c r="M147" t="n">
        <v>0</v>
      </c>
      <c r="N147" t="n">
        <v>0</v>
      </c>
      <c r="O147" t="n">
        <v>0</v>
      </c>
      <c r="P147" t="n">
        <v>0</v>
      </c>
      <c r="Q147" t="n">
        <v>0</v>
      </c>
      <c r="R147" t="n">
        <v>0</v>
      </c>
      <c r="S147" t="n">
        <v>0</v>
      </c>
      <c r="T147" t="n">
        <v>0</v>
      </c>
      <c r="U147" s="2" t="inlineStr"/>
    </row>
    <row r="148" ht="15" customHeight="1">
      <c r="A148" t="inlineStr">
        <is>
          <t>A 32069-2022</t>
        </is>
      </c>
      <c r="B148" t="inlineStr">
        <is>
          <t>avverkningsanmälan</t>
        </is>
      </c>
      <c r="C148" t="inlineStr">
        <is>
          <t>Föryngringsavverkning</t>
        </is>
      </c>
      <c r="D148" s="1" t="n">
        <v>44778</v>
      </c>
      <c r="E148" s="1" t="n">
        <v>46216</v>
      </c>
      <c r="F148" t="inlineStr">
        <is>
          <t>ÖSTERGÖTLANDS LÄN</t>
        </is>
      </c>
      <c r="G148" t="inlineStr">
        <is>
          <t>ÅTVIDABERG</t>
        </is>
      </c>
      <c r="I148" t="n">
        <v>0.1</v>
      </c>
      <c r="J148" t="n">
        <v>0</v>
      </c>
      <c r="K148" t="n">
        <v>0</v>
      </c>
      <c r="L148" t="n">
        <v>0</v>
      </c>
      <c r="M148" t="n">
        <v>0</v>
      </c>
      <c r="N148" t="n">
        <v>0</v>
      </c>
      <c r="O148" t="n">
        <v>0</v>
      </c>
      <c r="P148" t="n">
        <v>0</v>
      </c>
      <c r="Q148" t="n">
        <v>0</v>
      </c>
      <c r="R148" t="n">
        <v>0</v>
      </c>
      <c r="S148" t="n">
        <v>0</v>
      </c>
      <c r="T148" t="n">
        <v>0</v>
      </c>
      <c r="U148" s="2" t="inlineStr"/>
    </row>
    <row r="149" ht="15" customHeight="1">
      <c r="A149" t="inlineStr">
        <is>
          <t>A 11222-2022</t>
        </is>
      </c>
      <c r="B149" t="inlineStr">
        <is>
          <t>avverkningsanmälan</t>
        </is>
      </c>
      <c r="C149" t="inlineStr">
        <is>
          <t>Föryngringsavverkning</t>
        </is>
      </c>
      <c r="D149" s="1" t="n">
        <v>44629</v>
      </c>
      <c r="E149" s="1" t="n">
        <v>46216</v>
      </c>
      <c r="F149" t="inlineStr">
        <is>
          <t>ÖSTERGÖTLANDS LÄN</t>
        </is>
      </c>
      <c r="G149" t="inlineStr">
        <is>
          <t>ÅTVIDABERG</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6884-2023</t>
        </is>
      </c>
      <c r="B150" t="inlineStr">
        <is>
          <t>avverkningsanmälan</t>
        </is>
      </c>
      <c r="C150" t="inlineStr">
        <is>
          <t>Föryngringsavverkning</t>
        </is>
      </c>
      <c r="D150" s="1" t="n">
        <v>44967</v>
      </c>
      <c r="E150" s="1" t="n">
        <v>46216</v>
      </c>
      <c r="F150" t="inlineStr">
        <is>
          <t>ÖSTERGÖTLANDS LÄN</t>
        </is>
      </c>
      <c r="G150" t="inlineStr">
        <is>
          <t>ÅTVIDABERG</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55702-2022</t>
        </is>
      </c>
      <c r="B151" t="inlineStr">
        <is>
          <t>avverkningsanmälan</t>
        </is>
      </c>
      <c r="C151" t="inlineStr">
        <is>
          <t>Föryngringsavverkning</t>
        </is>
      </c>
      <c r="D151" s="1" t="n">
        <v>44888</v>
      </c>
      <c r="E151" s="1" t="n">
        <v>46216</v>
      </c>
      <c r="F151" t="inlineStr">
        <is>
          <t>ÖSTERGÖTLANDS LÄN</t>
        </is>
      </c>
      <c r="G151" t="inlineStr">
        <is>
          <t>ÅTVIDABERG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42316-2022</t>
        </is>
      </c>
      <c r="B152" t="inlineStr">
        <is>
          <t>avverkningsanmälan</t>
        </is>
      </c>
      <c r="C152" t="inlineStr">
        <is>
          <t>Föryngringsavverkning</t>
        </is>
      </c>
      <c r="D152" s="1" t="n">
        <v>44831</v>
      </c>
      <c r="E152" s="1" t="n">
        <v>46216</v>
      </c>
      <c r="F152" t="inlineStr">
        <is>
          <t>ÖSTERGÖTLANDS LÄN</t>
        </is>
      </c>
      <c r="G152" t="inlineStr">
        <is>
          <t>ÅTVIDABERG</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9704-2024</t>
        </is>
      </c>
      <c r="B153" t="inlineStr">
        <is>
          <t>avverkningsanmälan</t>
        </is>
      </c>
      <c r="C153" t="inlineStr">
        <is>
          <t>Avverkning för att bevara och utveckla /försöksver</t>
        </is>
      </c>
      <c r="D153" s="1" t="n">
        <v>45362</v>
      </c>
      <c r="E153" s="1" t="n">
        <v>46216</v>
      </c>
      <c r="F153" t="inlineStr">
        <is>
          <t>ÖSTERGÖTLANDS LÄN</t>
        </is>
      </c>
      <c r="G153" t="inlineStr">
        <is>
          <t>ÅTVIDABERG</t>
        </is>
      </c>
      <c r="H153" t="inlineStr">
        <is>
          <t>Sveaskog</t>
        </is>
      </c>
      <c r="I153" t="n">
        <v>4.6</v>
      </c>
      <c r="J153" t="n">
        <v>0</v>
      </c>
      <c r="K153" t="n">
        <v>0</v>
      </c>
      <c r="L153" t="n">
        <v>0</v>
      </c>
      <c r="M153" t="n">
        <v>0</v>
      </c>
      <c r="N153" t="n">
        <v>0</v>
      </c>
      <c r="O153" t="n">
        <v>0</v>
      </c>
      <c r="P153" t="n">
        <v>0</v>
      </c>
      <c r="Q153" t="n">
        <v>0</v>
      </c>
      <c r="R153" t="n">
        <v>0</v>
      </c>
      <c r="S153" t="n">
        <v>0</v>
      </c>
      <c r="T153" t="n">
        <v>0</v>
      </c>
      <c r="U153" s="2" t="inlineStr"/>
    </row>
    <row r="154" ht="15" customHeight="1">
      <c r="A154" t="inlineStr">
        <is>
          <t>A 11025-2023</t>
        </is>
      </c>
      <c r="B154" t="inlineStr">
        <is>
          <t>avverkningsanmälan</t>
        </is>
      </c>
      <c r="C154" t="inlineStr">
        <is>
          <t>Föryngringsavverkning</t>
        </is>
      </c>
      <c r="D154" s="1" t="n">
        <v>44991</v>
      </c>
      <c r="E154" s="1" t="n">
        <v>46216</v>
      </c>
      <c r="F154" t="inlineStr">
        <is>
          <t>ÖSTERGÖTLANDS LÄN</t>
        </is>
      </c>
      <c r="G154" t="inlineStr">
        <is>
          <t>ÅTVIDABERG</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2478-2022</t>
        </is>
      </c>
      <c r="B155" t="inlineStr">
        <is>
          <t>avverkningsanmälan</t>
        </is>
      </c>
      <c r="C155" t="inlineStr">
        <is>
          <t>Föryngringsavverkning</t>
        </is>
      </c>
      <c r="D155" s="1" t="n">
        <v>44579</v>
      </c>
      <c r="E155" s="1" t="n">
        <v>46216</v>
      </c>
      <c r="F155" t="inlineStr">
        <is>
          <t>ÖSTERGÖTLANDS LÄN</t>
        </is>
      </c>
      <c r="G155" t="inlineStr">
        <is>
          <t>ÅTVIDABERG</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57029-2022</t>
        </is>
      </c>
      <c r="B156" t="inlineStr">
        <is>
          <t>avverkningsanmälan</t>
        </is>
      </c>
      <c r="C156" t="inlineStr">
        <is>
          <t>Föryngringsavverkning</t>
        </is>
      </c>
      <c r="D156" s="1" t="n">
        <v>44895</v>
      </c>
      <c r="E156" s="1" t="n">
        <v>46216</v>
      </c>
      <c r="F156" t="inlineStr">
        <is>
          <t>ÖSTERGÖTLANDS LÄN</t>
        </is>
      </c>
      <c r="G156" t="inlineStr">
        <is>
          <t>ÅTVIDABERG</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7976-2023</t>
        </is>
      </c>
      <c r="B157" t="inlineStr">
        <is>
          <t>avverkningsanmälan</t>
        </is>
      </c>
      <c r="C157" t="inlineStr">
        <is>
          <t>Föryngringsavverkning</t>
        </is>
      </c>
      <c r="D157" s="1" t="n">
        <v>44973</v>
      </c>
      <c r="E157" s="1" t="n">
        <v>46216</v>
      </c>
      <c r="F157" t="inlineStr">
        <is>
          <t>ÖSTERGÖTLANDS LÄN</t>
        </is>
      </c>
      <c r="G157" t="inlineStr">
        <is>
          <t>ÅTVIDABERG</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46260-2022</t>
        </is>
      </c>
      <c r="B158" t="inlineStr">
        <is>
          <t>avverkningsanmälan</t>
        </is>
      </c>
      <c r="C158" t="inlineStr">
        <is>
          <t>Föryngringsavverkning</t>
        </is>
      </c>
      <c r="D158" s="1" t="n">
        <v>44847</v>
      </c>
      <c r="E158" s="1" t="n">
        <v>46216</v>
      </c>
      <c r="F158" t="inlineStr">
        <is>
          <t>ÖSTERGÖTLANDS LÄN</t>
        </is>
      </c>
      <c r="G158" t="inlineStr">
        <is>
          <t>ÅTVIDABERG</t>
        </is>
      </c>
      <c r="H158" t="inlineStr">
        <is>
          <t>Holmen skog AB</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39064-2024</t>
        </is>
      </c>
      <c r="B159" t="inlineStr">
        <is>
          <t>avverkningsanmälan</t>
        </is>
      </c>
      <c r="C159" t="inlineStr">
        <is>
          <t>Föryngringsavverkning</t>
        </is>
      </c>
      <c r="D159" s="1" t="n">
        <v>45548</v>
      </c>
      <c r="E159" s="1" t="n">
        <v>46216</v>
      </c>
      <c r="F159" t="inlineStr">
        <is>
          <t>ÖSTERGÖTLANDS LÄN</t>
        </is>
      </c>
      <c r="G159" t="inlineStr">
        <is>
          <t>ÅTVIDABERG</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39123-2021</t>
        </is>
      </c>
      <c r="B160" t="inlineStr">
        <is>
          <t>avverkningsanmälan</t>
        </is>
      </c>
      <c r="C160" t="inlineStr">
        <is>
          <t>Föryngringsavverkning</t>
        </is>
      </c>
      <c r="D160" s="1" t="n">
        <v>44412</v>
      </c>
      <c r="E160" s="1" t="n">
        <v>46216</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3388-2023</t>
        </is>
      </c>
      <c r="B161" t="inlineStr">
        <is>
          <t>avverkningsanmälan</t>
        </is>
      </c>
      <c r="C161" t="inlineStr">
        <is>
          <t>Föryngringsavverkning</t>
        </is>
      </c>
      <c r="D161" s="1" t="n">
        <v>44949</v>
      </c>
      <c r="E161" s="1" t="n">
        <v>46216</v>
      </c>
      <c r="F161" t="inlineStr">
        <is>
          <t>ÖSTERGÖTLANDS LÄN</t>
        </is>
      </c>
      <c r="G161" t="inlineStr">
        <is>
          <t>ÅTVIDABERG</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21294-2024</t>
        </is>
      </c>
      <c r="B162" t="inlineStr">
        <is>
          <t>avverkningsanmälan</t>
        </is>
      </c>
      <c r="C162" t="inlineStr">
        <is>
          <t>Föryngringsavverkning</t>
        </is>
      </c>
      <c r="D162" s="1" t="n">
        <v>45440</v>
      </c>
      <c r="E162" s="1" t="n">
        <v>46216</v>
      </c>
      <c r="F162" t="inlineStr">
        <is>
          <t>ÖSTERGÖTLANDS LÄN</t>
        </is>
      </c>
      <c r="G162" t="inlineStr">
        <is>
          <t>ÅTVIDABERG</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27977-2022</t>
        </is>
      </c>
      <c r="B163" t="inlineStr">
        <is>
          <t>avverkningsanmälan</t>
        </is>
      </c>
      <c r="C163" t="inlineStr">
        <is>
          <t>Föryngringsavverkning</t>
        </is>
      </c>
      <c r="D163" s="1" t="n">
        <v>44745</v>
      </c>
      <c r="E163" s="1" t="n">
        <v>46216</v>
      </c>
      <c r="F163" t="inlineStr">
        <is>
          <t>ÖSTERGÖTLANDS LÄN</t>
        </is>
      </c>
      <c r="G163" t="inlineStr">
        <is>
          <t>ÅTVIDABERG</t>
        </is>
      </c>
      <c r="I163" t="n">
        <v>1.8</v>
      </c>
      <c r="J163" t="n">
        <v>0</v>
      </c>
      <c r="K163" t="n">
        <v>0</v>
      </c>
      <c r="L163" t="n">
        <v>0</v>
      </c>
      <c r="M163" t="n">
        <v>0</v>
      </c>
      <c r="N163" t="n">
        <v>0</v>
      </c>
      <c r="O163" t="n">
        <v>0</v>
      </c>
      <c r="P163" t="n">
        <v>0</v>
      </c>
      <c r="Q163" t="n">
        <v>0</v>
      </c>
      <c r="R163" t="n">
        <v>0</v>
      </c>
      <c r="S163" t="n">
        <v>0</v>
      </c>
      <c r="T163" t="n">
        <v>0</v>
      </c>
      <c r="U163" s="2" t="inlineStr"/>
    </row>
    <row r="164" ht="15" customHeight="1">
      <c r="A164" t="inlineStr">
        <is>
          <t>A 59722-2021</t>
        </is>
      </c>
      <c r="B164" t="inlineStr">
        <is>
          <t>avverkningsanmälan</t>
        </is>
      </c>
      <c r="C164" t="inlineStr">
        <is>
          <t>Föryngringsavverkning</t>
        </is>
      </c>
      <c r="D164" s="1" t="n">
        <v>44494</v>
      </c>
      <c r="E164" s="1" t="n">
        <v>46216</v>
      </c>
      <c r="F164" t="inlineStr">
        <is>
          <t>ÖSTERGÖTLANDS LÄN</t>
        </is>
      </c>
      <c r="G164" t="inlineStr">
        <is>
          <t>ÅTVIDABERG</t>
        </is>
      </c>
      <c r="H164" t="inlineStr">
        <is>
          <t>Sveaskog</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9975-2022</t>
        </is>
      </c>
      <c r="B165" t="inlineStr">
        <is>
          <t>avverkningsanmälan</t>
        </is>
      </c>
      <c r="C165" t="inlineStr">
        <is>
          <t>Avverkning för annat ändamål</t>
        </is>
      </c>
      <c r="D165" s="1" t="n">
        <v>44621</v>
      </c>
      <c r="E165" s="1" t="n">
        <v>46216</v>
      </c>
      <c r="F165" t="inlineStr">
        <is>
          <t>ÖSTERGÖTLANDS LÄN</t>
        </is>
      </c>
      <c r="G165" t="inlineStr">
        <is>
          <t>ÅTVIDABERG</t>
        </is>
      </c>
      <c r="I165" t="n">
        <v>3</v>
      </c>
      <c r="J165" t="n">
        <v>0</v>
      </c>
      <c r="K165" t="n">
        <v>0</v>
      </c>
      <c r="L165" t="n">
        <v>0</v>
      </c>
      <c r="M165" t="n">
        <v>0</v>
      </c>
      <c r="N165" t="n">
        <v>0</v>
      </c>
      <c r="O165" t="n">
        <v>0</v>
      </c>
      <c r="P165" t="n">
        <v>0</v>
      </c>
      <c r="Q165" t="n">
        <v>0</v>
      </c>
      <c r="R165" t="n">
        <v>0</v>
      </c>
      <c r="S165" t="n">
        <v>0</v>
      </c>
      <c r="T165" t="n">
        <v>0</v>
      </c>
      <c r="U165" s="2" t="inlineStr"/>
    </row>
    <row r="166" ht="15" customHeight="1">
      <c r="A166" t="inlineStr">
        <is>
          <t>A 53005-2023</t>
        </is>
      </c>
      <c r="B166" t="inlineStr">
        <is>
          <t>avverkningsanmälan</t>
        </is>
      </c>
      <c r="C166" t="inlineStr">
        <is>
          <t>Föryngringsavverkning</t>
        </is>
      </c>
      <c r="D166" s="1" t="n">
        <v>45222</v>
      </c>
      <c r="E166" s="1" t="n">
        <v>46216</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31458-2023</t>
        </is>
      </c>
      <c r="B167" t="inlineStr">
        <is>
          <t>avverkningsanmälan</t>
        </is>
      </c>
      <c r="C167" t="inlineStr">
        <is>
          <t>Föryngringsavverkning</t>
        </is>
      </c>
      <c r="D167" s="1" t="n">
        <v>45114</v>
      </c>
      <c r="E167" s="1" t="n">
        <v>46216</v>
      </c>
      <c r="F167" t="inlineStr">
        <is>
          <t>ÖSTERGÖTLANDS LÄN</t>
        </is>
      </c>
      <c r="G167" t="inlineStr">
        <is>
          <t>ÅTVIDABERG</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23742-2023</t>
        </is>
      </c>
      <c r="B168" t="inlineStr">
        <is>
          <t>avverkningsanmälan</t>
        </is>
      </c>
      <c r="C168" t="inlineStr">
        <is>
          <t>Föryngringsavverkning</t>
        </is>
      </c>
      <c r="D168" s="1" t="n">
        <v>45077</v>
      </c>
      <c r="E168" s="1" t="n">
        <v>46216</v>
      </c>
      <c r="F168" t="inlineStr">
        <is>
          <t>ÖSTERGÖTLANDS LÄN</t>
        </is>
      </c>
      <c r="G168" t="inlineStr">
        <is>
          <t>ÅTVIDABERG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65588-2021</t>
        </is>
      </c>
      <c r="B169" t="inlineStr">
        <is>
          <t>avverkningsanmälan</t>
        </is>
      </c>
      <c r="C169" t="inlineStr">
        <is>
          <t>Avverkning för att bevara och utveckla /försöksver</t>
        </is>
      </c>
      <c r="D169" s="1" t="n">
        <v>44516</v>
      </c>
      <c r="E169" s="1" t="n">
        <v>46216</v>
      </c>
      <c r="F169" t="inlineStr">
        <is>
          <t>ÖSTERGÖTLANDS LÄN</t>
        </is>
      </c>
      <c r="G169" t="inlineStr">
        <is>
          <t>ÅTVIDABERG</t>
        </is>
      </c>
      <c r="H169" t="inlineStr">
        <is>
          <t>Sveaskog</t>
        </is>
      </c>
      <c r="I169" t="n">
        <v>3.2</v>
      </c>
      <c r="J169" t="n">
        <v>0</v>
      </c>
      <c r="K169" t="n">
        <v>0</v>
      </c>
      <c r="L169" t="n">
        <v>0</v>
      </c>
      <c r="M169" t="n">
        <v>0</v>
      </c>
      <c r="N169" t="n">
        <v>0</v>
      </c>
      <c r="O169" t="n">
        <v>0</v>
      </c>
      <c r="P169" t="n">
        <v>0</v>
      </c>
      <c r="Q169" t="n">
        <v>0</v>
      </c>
      <c r="R169" t="n">
        <v>0</v>
      </c>
      <c r="S169" t="n">
        <v>0</v>
      </c>
      <c r="T169" t="n">
        <v>0</v>
      </c>
      <c r="U169" s="2" t="inlineStr"/>
    </row>
    <row r="170" ht="15" customHeight="1">
      <c r="A170" t="inlineStr">
        <is>
          <t>A 65590-2021</t>
        </is>
      </c>
      <c r="B170" t="inlineStr">
        <is>
          <t>avverkningsanmälan</t>
        </is>
      </c>
      <c r="C170" t="inlineStr">
        <is>
          <t>Avverkning för att bevara och utveckla /försöksver</t>
        </is>
      </c>
      <c r="D170" s="1" t="n">
        <v>44516</v>
      </c>
      <c r="E170" s="1" t="n">
        <v>46216</v>
      </c>
      <c r="F170" t="inlineStr">
        <is>
          <t>ÖSTERGÖTLANDS LÄN</t>
        </is>
      </c>
      <c r="G170" t="inlineStr">
        <is>
          <t>ÅTVIDABERG</t>
        </is>
      </c>
      <c r="H170" t="inlineStr">
        <is>
          <t>Sveaskog</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27415-2022</t>
        </is>
      </c>
      <c r="B171" t="inlineStr">
        <is>
          <t>avverkningsanmälan</t>
        </is>
      </c>
      <c r="C171" t="inlineStr">
        <is>
          <t>Föryngringsavverkning</t>
        </is>
      </c>
      <c r="D171" s="1" t="n">
        <v>44742</v>
      </c>
      <c r="E171" s="1" t="n">
        <v>46216</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17542-2023</t>
        </is>
      </c>
      <c r="B172" t="inlineStr">
        <is>
          <t>avverkningsanmälan</t>
        </is>
      </c>
      <c r="C172" t="inlineStr">
        <is>
          <t>Föryngringsavverkning</t>
        </is>
      </c>
      <c r="D172" s="1" t="n">
        <v>45036</v>
      </c>
      <c r="E172" s="1" t="n">
        <v>46216</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s="2" t="inlineStr"/>
    </row>
    <row r="173" ht="15" customHeight="1">
      <c r="A173" t="inlineStr">
        <is>
          <t>A 65594-2021</t>
        </is>
      </c>
      <c r="B173" t="inlineStr">
        <is>
          <t>avverkningsanmälan</t>
        </is>
      </c>
      <c r="C173" t="inlineStr">
        <is>
          <t>Avverkning för att bevara och utveckla /försöksver</t>
        </is>
      </c>
      <c r="D173" s="1" t="n">
        <v>44516</v>
      </c>
      <c r="E173" s="1" t="n">
        <v>46216</v>
      </c>
      <c r="F173" t="inlineStr">
        <is>
          <t>ÖSTERGÖTLANDS LÄN</t>
        </is>
      </c>
      <c r="G173" t="inlineStr">
        <is>
          <t>ÅTVIDABERG</t>
        </is>
      </c>
      <c r="H173" t="inlineStr">
        <is>
          <t>Sveaskog</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36967-2022</t>
        </is>
      </c>
      <c r="B174" t="inlineStr">
        <is>
          <t>avverkningsanmälan</t>
        </is>
      </c>
      <c r="C174" t="inlineStr">
        <is>
          <t>Föryngringsavverkning</t>
        </is>
      </c>
      <c r="D174" s="1" t="n">
        <v>44806</v>
      </c>
      <c r="E174" s="1" t="n">
        <v>46216</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39580-2023</t>
        </is>
      </c>
      <c r="B175" t="inlineStr">
        <is>
          <t>avverkningsanmälan</t>
        </is>
      </c>
      <c r="C175" t="inlineStr">
        <is>
          <t>Föryngringsavverkning</t>
        </is>
      </c>
      <c r="D175" s="1" t="n">
        <v>45167</v>
      </c>
      <c r="E175" s="1" t="n">
        <v>46216</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7550-2024</t>
        </is>
      </c>
      <c r="B176" t="inlineStr">
        <is>
          <t>avverkningsanmälan</t>
        </is>
      </c>
      <c r="C176" t="inlineStr">
        <is>
          <t>Föryngringsavverkning</t>
        </is>
      </c>
      <c r="D176" s="1" t="n">
        <v>45348</v>
      </c>
      <c r="E176" s="1" t="n">
        <v>46216</v>
      </c>
      <c r="F176" t="inlineStr">
        <is>
          <t>ÖSTERGÖTLANDS LÄN</t>
        </is>
      </c>
      <c r="G176" t="inlineStr">
        <is>
          <t>ÅTVIDABERG</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807-2025</t>
        </is>
      </c>
      <c r="B177" t="inlineStr">
        <is>
          <t>avverkningsanmälan</t>
        </is>
      </c>
      <c r="C177" t="inlineStr">
        <is>
          <t>Föryngringsavverkning</t>
        </is>
      </c>
      <c r="D177" s="1" t="n">
        <v>45665</v>
      </c>
      <c r="E177" s="1" t="n">
        <v>46216</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31928-2022</t>
        </is>
      </c>
      <c r="B178" t="inlineStr">
        <is>
          <t>avverkningsanmälan</t>
        </is>
      </c>
      <c r="C178" t="inlineStr">
        <is>
          <t>Föryngringsavverkning</t>
        </is>
      </c>
      <c r="D178" s="1" t="n">
        <v>44777</v>
      </c>
      <c r="E178" s="1" t="n">
        <v>46216</v>
      </c>
      <c r="F178" t="inlineStr">
        <is>
          <t>ÖSTERGÖTLANDS LÄN</t>
        </is>
      </c>
      <c r="G178" t="inlineStr">
        <is>
          <t>ÅTVIDABERG</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30967-2023</t>
        </is>
      </c>
      <c r="B179" t="inlineStr">
        <is>
          <t>avverkningsanmälan</t>
        </is>
      </c>
      <c r="C179" t="inlineStr">
        <is>
          <t>Föryngringsavverkning</t>
        </is>
      </c>
      <c r="D179" s="1" t="n">
        <v>45113</v>
      </c>
      <c r="E179" s="1" t="n">
        <v>46216</v>
      </c>
      <c r="F179" t="inlineStr">
        <is>
          <t>ÖSTERGÖTLANDS LÄN</t>
        </is>
      </c>
      <c r="G179" t="inlineStr">
        <is>
          <t>ÅTVIDABERG</t>
        </is>
      </c>
      <c r="H179" t="inlineStr">
        <is>
          <t>Övriga Aktiebolag</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926-2024</t>
        </is>
      </c>
      <c r="B180" t="inlineStr">
        <is>
          <t>avverkningsanmälan</t>
        </is>
      </c>
      <c r="C180" t="inlineStr">
        <is>
          <t>Föryngringsavverkning</t>
        </is>
      </c>
      <c r="D180" s="1" t="n">
        <v>45301</v>
      </c>
      <c r="E180" s="1" t="n">
        <v>46216</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17429-2024</t>
        </is>
      </c>
      <c r="B181" t="inlineStr">
        <is>
          <t>avverkningsanmälan</t>
        </is>
      </c>
      <c r="C181" t="inlineStr">
        <is>
          <t>Föryngringsavverkning</t>
        </is>
      </c>
      <c r="D181" s="1" t="n">
        <v>45415</v>
      </c>
      <c r="E181" s="1" t="n">
        <v>46216</v>
      </c>
      <c r="F181" t="inlineStr">
        <is>
          <t>ÖSTERGÖTLANDS LÄN</t>
        </is>
      </c>
      <c r="G181" t="inlineStr">
        <is>
          <t>ÅTVIDABERG</t>
        </is>
      </c>
      <c r="I181" t="n">
        <v>6</v>
      </c>
      <c r="J181" t="n">
        <v>0</v>
      </c>
      <c r="K181" t="n">
        <v>0</v>
      </c>
      <c r="L181" t="n">
        <v>0</v>
      </c>
      <c r="M181" t="n">
        <v>0</v>
      </c>
      <c r="N181" t="n">
        <v>0</v>
      </c>
      <c r="O181" t="n">
        <v>0</v>
      </c>
      <c r="P181" t="n">
        <v>0</v>
      </c>
      <c r="Q181" t="n">
        <v>0</v>
      </c>
      <c r="R181" t="n">
        <v>0</v>
      </c>
      <c r="S181" t="n">
        <v>0</v>
      </c>
      <c r="T181" t="n">
        <v>0</v>
      </c>
      <c r="U181" s="2" t="inlineStr"/>
    </row>
    <row r="182" ht="15" customHeight="1">
      <c r="A182" t="inlineStr">
        <is>
          <t>A 32066-2022</t>
        </is>
      </c>
      <c r="B182" t="inlineStr">
        <is>
          <t>avverkningsanmälan</t>
        </is>
      </c>
      <c r="C182" t="inlineStr">
        <is>
          <t>Föryngringsavverkning</t>
        </is>
      </c>
      <c r="D182" s="1" t="n">
        <v>44778</v>
      </c>
      <c r="E182" s="1" t="n">
        <v>46216</v>
      </c>
      <c r="F182" t="inlineStr">
        <is>
          <t>ÖSTERGÖTLANDS LÄN</t>
        </is>
      </c>
      <c r="G182" t="inlineStr">
        <is>
          <t>ÅTVIDABERG</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25548-2023</t>
        </is>
      </c>
      <c r="B183" t="inlineStr">
        <is>
          <t>avverkningsanmälan</t>
        </is>
      </c>
      <c r="C183" t="inlineStr">
        <is>
          <t>Föryngringsavverkning</t>
        </is>
      </c>
      <c r="D183" s="1" t="n">
        <v>45089</v>
      </c>
      <c r="E183" s="1" t="n">
        <v>46216</v>
      </c>
      <c r="F183" t="inlineStr">
        <is>
          <t>ÖSTERGÖTLANDS LÄN</t>
        </is>
      </c>
      <c r="G183" t="inlineStr">
        <is>
          <t>ÅTVIDABERG</t>
        </is>
      </c>
      <c r="I183" t="n">
        <v>18.7</v>
      </c>
      <c r="J183" t="n">
        <v>0</v>
      </c>
      <c r="K183" t="n">
        <v>0</v>
      </c>
      <c r="L183" t="n">
        <v>0</v>
      </c>
      <c r="M183" t="n">
        <v>0</v>
      </c>
      <c r="N183" t="n">
        <v>0</v>
      </c>
      <c r="O183" t="n">
        <v>0</v>
      </c>
      <c r="P183" t="n">
        <v>0</v>
      </c>
      <c r="Q183" t="n">
        <v>0</v>
      </c>
      <c r="R183" t="n">
        <v>0</v>
      </c>
      <c r="S183" t="n">
        <v>0</v>
      </c>
      <c r="T183" t="n">
        <v>0</v>
      </c>
      <c r="U183" s="2" t="inlineStr"/>
    </row>
    <row r="184" ht="15" customHeight="1">
      <c r="A184" t="inlineStr">
        <is>
          <t>A 36263-2024</t>
        </is>
      </c>
      <c r="B184" t="inlineStr">
        <is>
          <t>avverkningsanmälan</t>
        </is>
      </c>
      <c r="C184" t="inlineStr">
        <is>
          <t>Föryngringsavverkning</t>
        </is>
      </c>
      <c r="D184" s="1" t="n">
        <v>45534</v>
      </c>
      <c r="E184" s="1" t="n">
        <v>46216</v>
      </c>
      <c r="F184" t="inlineStr">
        <is>
          <t>ÖSTERGÖTLANDS LÄN</t>
        </is>
      </c>
      <c r="G184" t="inlineStr">
        <is>
          <t>ÅTVIDABERG</t>
        </is>
      </c>
      <c r="I184" t="n">
        <v>3.4</v>
      </c>
      <c r="J184" t="n">
        <v>0</v>
      </c>
      <c r="K184" t="n">
        <v>0</v>
      </c>
      <c r="L184" t="n">
        <v>0</v>
      </c>
      <c r="M184" t="n">
        <v>0</v>
      </c>
      <c r="N184" t="n">
        <v>0</v>
      </c>
      <c r="O184" t="n">
        <v>0</v>
      </c>
      <c r="P184" t="n">
        <v>0</v>
      </c>
      <c r="Q184" t="n">
        <v>0</v>
      </c>
      <c r="R184" t="n">
        <v>0</v>
      </c>
      <c r="S184" t="n">
        <v>0</v>
      </c>
      <c r="T184" t="n">
        <v>0</v>
      </c>
      <c r="U184" s="2" t="inlineStr"/>
    </row>
    <row r="185" ht="15" customHeight="1">
      <c r="A185" t="inlineStr">
        <is>
          <t>A 426-2025</t>
        </is>
      </c>
      <c r="B185" t="inlineStr">
        <is>
          <t>avverkningsanmälan</t>
        </is>
      </c>
      <c r="C185" t="inlineStr">
        <is>
          <t>Föryngringsavverkning</t>
        </is>
      </c>
      <c r="D185" s="1" t="n">
        <v>45664</v>
      </c>
      <c r="E185" s="1" t="n">
        <v>46216</v>
      </c>
      <c r="F185" t="inlineStr">
        <is>
          <t>ÖSTERGÖTLANDS LÄN</t>
        </is>
      </c>
      <c r="G185" t="inlineStr">
        <is>
          <t>ÅTVIDABERG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56270-2021</t>
        </is>
      </c>
      <c r="B186" t="inlineStr">
        <is>
          <t>avverkningsanmälan</t>
        </is>
      </c>
      <c r="C186" t="inlineStr">
        <is>
          <t>Föryngringsavverkning</t>
        </is>
      </c>
      <c r="D186" s="1" t="n">
        <v>44479</v>
      </c>
      <c r="E186" s="1" t="n">
        <v>46216</v>
      </c>
      <c r="F186" t="inlineStr">
        <is>
          <t>ÖSTERGÖTLANDS LÄN</t>
        </is>
      </c>
      <c r="G186" t="inlineStr">
        <is>
          <t>ÅTVIDABERG</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31127-2022</t>
        </is>
      </c>
      <c r="B187" t="inlineStr">
        <is>
          <t>avverkningsanmälan</t>
        </is>
      </c>
      <c r="C187" t="inlineStr">
        <is>
          <t>Föryngringsavverkning</t>
        </is>
      </c>
      <c r="D187" s="1" t="n">
        <v>44770</v>
      </c>
      <c r="E187" s="1" t="n">
        <v>46216</v>
      </c>
      <c r="F187" t="inlineStr">
        <is>
          <t>ÖSTERGÖTLANDS LÄN</t>
        </is>
      </c>
      <c r="G187" t="inlineStr">
        <is>
          <t>ÅTVIDABERG</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25075-2025</t>
        </is>
      </c>
      <c r="B188" t="inlineStr">
        <is>
          <t>avverkningsanmälan</t>
        </is>
      </c>
      <c r="C188" t="inlineStr">
        <is>
          <t>Föryngringsavverkning</t>
        </is>
      </c>
      <c r="D188" s="1" t="n">
        <v>45799</v>
      </c>
      <c r="E188" s="1" t="n">
        <v>46216</v>
      </c>
      <c r="F188" t="inlineStr">
        <is>
          <t>ÖSTERGÖTLANDS LÄN</t>
        </is>
      </c>
      <c r="G188" t="inlineStr">
        <is>
          <t>ÅTVIDABERG</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7652-2022</t>
        </is>
      </c>
      <c r="B189" t="inlineStr">
        <is>
          <t>avverkningsanmälan</t>
        </is>
      </c>
      <c r="C189" t="inlineStr">
        <is>
          <t>Föryngringsavverkning</t>
        </is>
      </c>
      <c r="D189" s="1" t="n">
        <v>44607</v>
      </c>
      <c r="E189" s="1" t="n">
        <v>46216</v>
      </c>
      <c r="F189" t="inlineStr">
        <is>
          <t>ÖSTERGÖTLANDS LÄN</t>
        </is>
      </c>
      <c r="G189" t="inlineStr">
        <is>
          <t>ÅTVIDABERG</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25930-2025</t>
        </is>
      </c>
      <c r="B190" t="inlineStr">
        <is>
          <t>avverkningsanmälan</t>
        </is>
      </c>
      <c r="C190" t="inlineStr">
        <is>
          <t>Avverkning för annat ändamål</t>
        </is>
      </c>
      <c r="D190" s="1" t="n">
        <v>45804</v>
      </c>
      <c r="E190" s="1" t="n">
        <v>46216</v>
      </c>
      <c r="F190" t="inlineStr">
        <is>
          <t>ÖSTERGÖTLANDS LÄN</t>
        </is>
      </c>
      <c r="G190" t="inlineStr">
        <is>
          <t>ÅTVIDABERG</t>
        </is>
      </c>
      <c r="H190" t="inlineStr">
        <is>
          <t>Övriga Aktiebolag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9722-2024</t>
        </is>
      </c>
      <c r="B191" t="inlineStr">
        <is>
          <t>avverkningsanmälan</t>
        </is>
      </c>
      <c r="C191" t="inlineStr">
        <is>
          <t>Avverkning för att bevara och utveckla /försöksver</t>
        </is>
      </c>
      <c r="D191" s="1" t="n">
        <v>45362</v>
      </c>
      <c r="E191" s="1" t="n">
        <v>46216</v>
      </c>
      <c r="F191" t="inlineStr">
        <is>
          <t>ÖSTERGÖTLANDS LÄN</t>
        </is>
      </c>
      <c r="G191" t="inlineStr">
        <is>
          <t>ÅTVIDABERG</t>
        </is>
      </c>
      <c r="H191" t="inlineStr">
        <is>
          <t>Sveaskog</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674-2026</t>
        </is>
      </c>
      <c r="B192" t="inlineStr">
        <is>
          <t>avverkningsanmälan</t>
        </is>
      </c>
      <c r="C192" t="inlineStr">
        <is>
          <t>Föryngringsavverkning</t>
        </is>
      </c>
      <c r="D192" s="1" t="n">
        <v>46029</v>
      </c>
      <c r="E192" s="1" t="n">
        <v>46216</v>
      </c>
      <c r="F192" t="inlineStr">
        <is>
          <t>ÖSTERGÖTLANDS LÄN</t>
        </is>
      </c>
      <c r="G192" t="inlineStr">
        <is>
          <t>ÅTVIDABERG</t>
        </is>
      </c>
      <c r="I192" t="n">
        <v>2.8</v>
      </c>
      <c r="J192" t="n">
        <v>0</v>
      </c>
      <c r="K192" t="n">
        <v>0</v>
      </c>
      <c r="L192" t="n">
        <v>0</v>
      </c>
      <c r="M192" t="n">
        <v>0</v>
      </c>
      <c r="N192" t="n">
        <v>0</v>
      </c>
      <c r="O192" t="n">
        <v>0</v>
      </c>
      <c r="P192" t="n">
        <v>0</v>
      </c>
      <c r="Q192" t="n">
        <v>0</v>
      </c>
      <c r="R192" t="n">
        <v>0</v>
      </c>
      <c r="S192" t="n">
        <v>0</v>
      </c>
      <c r="T192" t="n">
        <v>0</v>
      </c>
      <c r="U192" s="2" t="inlineStr"/>
    </row>
    <row r="193" ht="15" customHeight="1">
      <c r="A193" t="inlineStr">
        <is>
          <t>A 42488-2023</t>
        </is>
      </c>
      <c r="B193" t="inlineStr">
        <is>
          <t>avverkningsanmälan</t>
        </is>
      </c>
      <c r="C193" t="inlineStr">
        <is>
          <t>Föryngringsavverkning</t>
        </is>
      </c>
      <c r="D193" s="1" t="n">
        <v>45180</v>
      </c>
      <c r="E193" s="1" t="n">
        <v>46216</v>
      </c>
      <c r="F193" t="inlineStr">
        <is>
          <t>ÖSTERGÖTLANDS LÄN</t>
        </is>
      </c>
      <c r="G193" t="inlineStr">
        <is>
          <t>ÅTVIDABERG</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38805-2021</t>
        </is>
      </c>
      <c r="B194" t="inlineStr">
        <is>
          <t>avverkningsanmälan</t>
        </is>
      </c>
      <c r="C194" t="inlineStr">
        <is>
          <t>Föryngringsavverkning</t>
        </is>
      </c>
      <c r="D194" s="1" t="n">
        <v>44410</v>
      </c>
      <c r="E194" s="1" t="n">
        <v>46216</v>
      </c>
      <c r="F194" t="inlineStr">
        <is>
          <t>ÖSTERGÖTLANDS LÄN</t>
        </is>
      </c>
      <c r="G194" t="inlineStr">
        <is>
          <t>ÅTVIDABERG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57657-2022</t>
        </is>
      </c>
      <c r="B195" t="inlineStr">
        <is>
          <t>avverkningsanmälan</t>
        </is>
      </c>
      <c r="C195" t="inlineStr">
        <is>
          <t>Föryngringsavverkning</t>
        </is>
      </c>
      <c r="D195" s="1" t="n">
        <v>44897</v>
      </c>
      <c r="E195" s="1" t="n">
        <v>46216</v>
      </c>
      <c r="F195" t="inlineStr">
        <is>
          <t>ÖSTERGÖTLANDS LÄN</t>
        </is>
      </c>
      <c r="G195" t="inlineStr">
        <is>
          <t>ÅTVIDABERG</t>
        </is>
      </c>
      <c r="I195" t="n">
        <v>4</v>
      </c>
      <c r="J195" t="n">
        <v>0</v>
      </c>
      <c r="K195" t="n">
        <v>0</v>
      </c>
      <c r="L195" t="n">
        <v>0</v>
      </c>
      <c r="M195" t="n">
        <v>0</v>
      </c>
      <c r="N195" t="n">
        <v>0</v>
      </c>
      <c r="O195" t="n">
        <v>0</v>
      </c>
      <c r="P195" t="n">
        <v>0</v>
      </c>
      <c r="Q195" t="n">
        <v>0</v>
      </c>
      <c r="R195" t="n">
        <v>0</v>
      </c>
      <c r="S195" t="n">
        <v>0</v>
      </c>
      <c r="T195" t="n">
        <v>0</v>
      </c>
      <c r="U195" s="2" t="inlineStr"/>
    </row>
    <row r="196" ht="15" customHeight="1">
      <c r="A196" t="inlineStr">
        <is>
          <t>A 1503-2026</t>
        </is>
      </c>
      <c r="B196" t="inlineStr">
        <is>
          <t>avverkningsanmälan</t>
        </is>
      </c>
      <c r="C196" t="inlineStr">
        <is>
          <t>Föryngringsavverkning</t>
        </is>
      </c>
      <c r="D196" s="1" t="n">
        <v>46034</v>
      </c>
      <c r="E196" s="1" t="n">
        <v>46216</v>
      </c>
      <c r="F196" t="inlineStr">
        <is>
          <t>ÖSTERGÖTLANDS LÄN</t>
        </is>
      </c>
      <c r="G196" t="inlineStr">
        <is>
          <t>ÅTVIDABERG</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30119-2023</t>
        </is>
      </c>
      <c r="B197" t="inlineStr">
        <is>
          <t>avverkningsanmälan</t>
        </is>
      </c>
      <c r="C197" t="inlineStr">
        <is>
          <t>Föryngringsavverkning</t>
        </is>
      </c>
      <c r="D197" s="1" t="n">
        <v>45110</v>
      </c>
      <c r="E197" s="1" t="n">
        <v>46216</v>
      </c>
      <c r="F197" t="inlineStr">
        <is>
          <t>ÖSTERGÖTLANDS LÄN</t>
        </is>
      </c>
      <c r="G197" t="inlineStr">
        <is>
          <t>ÅTVIDABERG</t>
        </is>
      </c>
      <c r="H197" t="inlineStr">
        <is>
          <t>Övriga Aktiebolag</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27744-2024</t>
        </is>
      </c>
      <c r="B198" t="inlineStr">
        <is>
          <t>avverkningsanmälan</t>
        </is>
      </c>
      <c r="C198" t="inlineStr">
        <is>
          <t>Föryngringsavverkning</t>
        </is>
      </c>
      <c r="D198" s="1" t="n">
        <v>45475</v>
      </c>
      <c r="E198" s="1" t="n">
        <v>46216</v>
      </c>
      <c r="F198" t="inlineStr">
        <is>
          <t>ÖSTERGÖTLANDS LÄN</t>
        </is>
      </c>
      <c r="G198" t="inlineStr">
        <is>
          <t>ÅTVIDABERG</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4007-2024</t>
        </is>
      </c>
      <c r="B199" t="inlineStr">
        <is>
          <t>avverkningsanmälan</t>
        </is>
      </c>
      <c r="C199" t="inlineStr">
        <is>
          <t>Föryngringsavverkning</t>
        </is>
      </c>
      <c r="D199" s="1" t="n">
        <v>45323</v>
      </c>
      <c r="E199" s="1" t="n">
        <v>46216</v>
      </c>
      <c r="F199" t="inlineStr">
        <is>
          <t>ÖSTERGÖTLANDS LÄN</t>
        </is>
      </c>
      <c r="G199" t="inlineStr">
        <is>
          <t>ÅTVIDABERG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1869-2026</t>
        </is>
      </c>
      <c r="B200" t="inlineStr">
        <is>
          <t>avverkningsanmälan</t>
        </is>
      </c>
      <c r="C200" t="inlineStr">
        <is>
          <t>Föryngringsavverkning</t>
        </is>
      </c>
      <c r="D200" s="1" t="n">
        <v>46035</v>
      </c>
      <c r="E200" s="1" t="n">
        <v>46216</v>
      </c>
      <c r="F200" t="inlineStr">
        <is>
          <t>ÖSTERGÖTLANDS LÄN</t>
        </is>
      </c>
      <c r="G200" t="inlineStr">
        <is>
          <t>ÅTVIDABERG</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29449-2025</t>
        </is>
      </c>
      <c r="B201" t="inlineStr">
        <is>
          <t>avverkningsanmälan</t>
        </is>
      </c>
      <c r="C201" t="inlineStr">
        <is>
          <t>Föryngringsavverkning</t>
        </is>
      </c>
      <c r="D201" s="1" t="n">
        <v>45824</v>
      </c>
      <c r="E201" s="1" t="n">
        <v>46216</v>
      </c>
      <c r="F201" t="inlineStr">
        <is>
          <t>ÖSTERGÖTLANDS LÄN</t>
        </is>
      </c>
      <c r="G201" t="inlineStr">
        <is>
          <t>ÅTVIDABERG</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10222-2022</t>
        </is>
      </c>
      <c r="B202" t="inlineStr">
        <is>
          <t>avverkningsanmälan</t>
        </is>
      </c>
      <c r="C202" t="inlineStr">
        <is>
          <t>Föryngringsavverkning</t>
        </is>
      </c>
      <c r="D202" s="1" t="n">
        <v>44622</v>
      </c>
      <c r="E202" s="1" t="n">
        <v>46216</v>
      </c>
      <c r="F202" t="inlineStr">
        <is>
          <t>ÖSTERGÖTLANDS LÄN</t>
        </is>
      </c>
      <c r="G202" t="inlineStr">
        <is>
          <t>ÅTVIDABERG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14198-2025</t>
        </is>
      </c>
      <c r="B203" t="inlineStr">
        <is>
          <t>avverkningsanmälan</t>
        </is>
      </c>
      <c r="C203" t="inlineStr">
        <is>
          <t>Föryngringsavverkning</t>
        </is>
      </c>
      <c r="D203" s="1" t="n">
        <v>45740</v>
      </c>
      <c r="E203" s="1" t="n">
        <v>46216</v>
      </c>
      <c r="F203" t="inlineStr">
        <is>
          <t>ÖSTERGÖTLANDS LÄN</t>
        </is>
      </c>
      <c r="G203" t="inlineStr">
        <is>
          <t>ÅTVIDABERG</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40623-2025</t>
        </is>
      </c>
      <c r="B204" t="inlineStr">
        <is>
          <t>avverkningsanmälan</t>
        </is>
      </c>
      <c r="C204" t="inlineStr">
        <is>
          <t>Föryngringsavverkning</t>
        </is>
      </c>
      <c r="D204" s="1" t="n">
        <v>45896</v>
      </c>
      <c r="E204" s="1" t="n">
        <v>46216</v>
      </c>
      <c r="F204" t="inlineStr">
        <is>
          <t>ÖSTERGÖTLANDS LÄN</t>
        </is>
      </c>
      <c r="G204" t="inlineStr">
        <is>
          <t>ÅTVIDABERG</t>
        </is>
      </c>
      <c r="H204" t="inlineStr">
        <is>
          <t>Sveaskog</t>
        </is>
      </c>
      <c r="I204" t="n">
        <v>3.6</v>
      </c>
      <c r="J204" t="n">
        <v>0</v>
      </c>
      <c r="K204" t="n">
        <v>0</v>
      </c>
      <c r="L204" t="n">
        <v>0</v>
      </c>
      <c r="M204" t="n">
        <v>0</v>
      </c>
      <c r="N204" t="n">
        <v>0</v>
      </c>
      <c r="O204" t="n">
        <v>0</v>
      </c>
      <c r="P204" t="n">
        <v>0</v>
      </c>
      <c r="Q204" t="n">
        <v>0</v>
      </c>
      <c r="R204" t="n">
        <v>0</v>
      </c>
      <c r="S204" t="n">
        <v>0</v>
      </c>
      <c r="T204" t="n">
        <v>0</v>
      </c>
      <c r="U204" s="2" t="inlineStr"/>
    </row>
    <row r="205" ht="15" customHeight="1">
      <c r="A205" t="inlineStr">
        <is>
          <t>A 43938-2023</t>
        </is>
      </c>
      <c r="B205" t="inlineStr">
        <is>
          <t>avverkningsanmälan</t>
        </is>
      </c>
      <c r="C205" t="inlineStr">
        <is>
          <t>Föryngringsavverkning</t>
        </is>
      </c>
      <c r="D205" s="1" t="n">
        <v>45187</v>
      </c>
      <c r="E205" s="1" t="n">
        <v>46216</v>
      </c>
      <c r="F205" t="inlineStr">
        <is>
          <t>ÖSTERGÖTLANDS LÄN</t>
        </is>
      </c>
      <c r="G205" t="inlineStr">
        <is>
          <t>ÅTVIDABERG</t>
        </is>
      </c>
      <c r="H205" t="inlineStr">
        <is>
          <t>Övriga Aktiebolag</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53167-2023</t>
        </is>
      </c>
      <c r="B206" t="inlineStr">
        <is>
          <t>avverkningsanmälan</t>
        </is>
      </c>
      <c r="C206" t="inlineStr">
        <is>
          <t>Föryngringsavverkning</t>
        </is>
      </c>
      <c r="D206" s="1" t="n">
        <v>45229</v>
      </c>
      <c r="E206" s="1" t="n">
        <v>46216</v>
      </c>
      <c r="F206" t="inlineStr">
        <is>
          <t>ÖSTERGÖTLANDS LÄN</t>
        </is>
      </c>
      <c r="G206" t="inlineStr">
        <is>
          <t>ÅTVIDABERG</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40619-2025</t>
        </is>
      </c>
      <c r="B207" t="inlineStr">
        <is>
          <t>avverkningsanmälan</t>
        </is>
      </c>
      <c r="C207" t="inlineStr">
        <is>
          <t>Föryngringsavverkning</t>
        </is>
      </c>
      <c r="D207" s="1" t="n">
        <v>45896</v>
      </c>
      <c r="E207" s="1" t="n">
        <v>46216</v>
      </c>
      <c r="F207" t="inlineStr">
        <is>
          <t>ÖSTERGÖTLANDS LÄN</t>
        </is>
      </c>
      <c r="G207" t="inlineStr">
        <is>
          <t>ÅTVIDABERG</t>
        </is>
      </c>
      <c r="H207" t="inlineStr">
        <is>
          <t>Sveaskog</t>
        </is>
      </c>
      <c r="I207" t="n">
        <v>1.7</v>
      </c>
      <c r="J207" t="n">
        <v>0</v>
      </c>
      <c r="K207" t="n">
        <v>0</v>
      </c>
      <c r="L207" t="n">
        <v>0</v>
      </c>
      <c r="M207" t="n">
        <v>0</v>
      </c>
      <c r="N207" t="n">
        <v>0</v>
      </c>
      <c r="O207" t="n">
        <v>0</v>
      </c>
      <c r="P207" t="n">
        <v>0</v>
      </c>
      <c r="Q207" t="n">
        <v>0</v>
      </c>
      <c r="R207" t="n">
        <v>0</v>
      </c>
      <c r="S207" t="n">
        <v>0</v>
      </c>
      <c r="T207" t="n">
        <v>0</v>
      </c>
      <c r="U207" s="2" t="inlineStr"/>
    </row>
    <row r="208" ht="15" customHeight="1">
      <c r="A208" t="inlineStr">
        <is>
          <t>A 9115-2025</t>
        </is>
      </c>
      <c r="B208" t="inlineStr">
        <is>
          <t>avverkningsanmälan</t>
        </is>
      </c>
      <c r="C208" t="inlineStr">
        <is>
          <t>Föryngringsavverkning</t>
        </is>
      </c>
      <c r="D208" s="1" t="n">
        <v>45713</v>
      </c>
      <c r="E208" s="1" t="n">
        <v>46216</v>
      </c>
      <c r="F208" t="inlineStr">
        <is>
          <t>ÖSTERGÖTLANDS LÄN</t>
        </is>
      </c>
      <c r="G208" t="inlineStr">
        <is>
          <t>ÅTVIDABERG</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1861-2026</t>
        </is>
      </c>
      <c r="B209" t="inlineStr">
        <is>
          <t>avverkningsanmälan</t>
        </is>
      </c>
      <c r="C209" t="inlineStr">
        <is>
          <t>Föryngringsavverkning</t>
        </is>
      </c>
      <c r="D209" s="1" t="n">
        <v>46035</v>
      </c>
      <c r="E209" s="1" t="n">
        <v>46216</v>
      </c>
      <c r="F209" t="inlineStr">
        <is>
          <t>ÖSTERGÖTLANDS LÄN</t>
        </is>
      </c>
      <c r="G209" t="inlineStr">
        <is>
          <t>ÅTVIDABERG</t>
        </is>
      </c>
      <c r="I209" t="n">
        <v>4.6</v>
      </c>
      <c r="J209" t="n">
        <v>0</v>
      </c>
      <c r="K209" t="n">
        <v>0</v>
      </c>
      <c r="L209" t="n">
        <v>0</v>
      </c>
      <c r="M209" t="n">
        <v>0</v>
      </c>
      <c r="N209" t="n">
        <v>0</v>
      </c>
      <c r="O209" t="n">
        <v>0</v>
      </c>
      <c r="P209" t="n">
        <v>0</v>
      </c>
      <c r="Q209" t="n">
        <v>0</v>
      </c>
      <c r="R209" t="n">
        <v>0</v>
      </c>
      <c r="S209" t="n">
        <v>0</v>
      </c>
      <c r="T209" t="n">
        <v>0</v>
      </c>
      <c r="U209" s="2" t="inlineStr"/>
    </row>
    <row r="210" ht="15" customHeight="1">
      <c r="A210" t="inlineStr">
        <is>
          <t>A 41133-2025</t>
        </is>
      </c>
      <c r="B210" t="inlineStr">
        <is>
          <t>avverkningsanmälan</t>
        </is>
      </c>
      <c r="C210" t="inlineStr">
        <is>
          <t>Avverkning för annat ändamål</t>
        </is>
      </c>
      <c r="D210" s="1" t="n">
        <v>45898</v>
      </c>
      <c r="E210" s="1" t="n">
        <v>46216</v>
      </c>
      <c r="F210" t="inlineStr">
        <is>
          <t>ÖSTERGÖTLANDS LÄN</t>
        </is>
      </c>
      <c r="G210" t="inlineStr">
        <is>
          <t>ÅTVIDABERG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1847-2026</t>
        </is>
      </c>
      <c r="B211" t="inlineStr">
        <is>
          <t>avverkningsanmälan</t>
        </is>
      </c>
      <c r="C211" t="inlineStr">
        <is>
          <t>Föryngringsavverkning</t>
        </is>
      </c>
      <c r="D211" s="1" t="n">
        <v>46035</v>
      </c>
      <c r="E211" s="1" t="n">
        <v>46216</v>
      </c>
      <c r="F211" t="inlineStr">
        <is>
          <t>ÖSTERGÖTLANDS LÄN</t>
        </is>
      </c>
      <c r="G211" t="inlineStr">
        <is>
          <t>ÅTVIDABERG</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1996-2026</t>
        </is>
      </c>
      <c r="B212" t="inlineStr">
        <is>
          <t>avverkningsanmälan</t>
        </is>
      </c>
      <c r="C212" t="inlineStr">
        <is>
          <t>Föryngringsavverkning</t>
        </is>
      </c>
      <c r="D212" s="1" t="n">
        <v>46035</v>
      </c>
      <c r="E212" s="1" t="n">
        <v>46216</v>
      </c>
      <c r="F212" t="inlineStr">
        <is>
          <t>ÖSTERGÖTLANDS LÄN</t>
        </is>
      </c>
      <c r="G212" t="inlineStr">
        <is>
          <t>ÅTVIDABERG</t>
        </is>
      </c>
      <c r="I212" t="n">
        <v>13.5</v>
      </c>
      <c r="J212" t="n">
        <v>0</v>
      </c>
      <c r="K212" t="n">
        <v>0</v>
      </c>
      <c r="L212" t="n">
        <v>0</v>
      </c>
      <c r="M212" t="n">
        <v>0</v>
      </c>
      <c r="N212" t="n">
        <v>0</v>
      </c>
      <c r="O212" t="n">
        <v>0</v>
      </c>
      <c r="P212" t="n">
        <v>0</v>
      </c>
      <c r="Q212" t="n">
        <v>0</v>
      </c>
      <c r="R212" t="n">
        <v>0</v>
      </c>
      <c r="S212" t="n">
        <v>0</v>
      </c>
      <c r="T212" t="n">
        <v>0</v>
      </c>
      <c r="U212" s="2" t="inlineStr"/>
    </row>
    <row r="213" ht="15" customHeight="1">
      <c r="A213" t="inlineStr">
        <is>
          <t>A 52235-2023</t>
        </is>
      </c>
      <c r="B213" t="inlineStr">
        <is>
          <t>avverkningsanmälan</t>
        </is>
      </c>
      <c r="C213" t="inlineStr">
        <is>
          <t>Föryngringsavverkning</t>
        </is>
      </c>
      <c r="D213" s="1" t="n">
        <v>45224</v>
      </c>
      <c r="E213" s="1" t="n">
        <v>46216</v>
      </c>
      <c r="F213" t="inlineStr">
        <is>
          <t>ÖSTERGÖTLANDS LÄN</t>
        </is>
      </c>
      <c r="G213" t="inlineStr">
        <is>
          <t>ÅTVIDABERG</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53163-2023</t>
        </is>
      </c>
      <c r="B214" t="inlineStr">
        <is>
          <t>avverkningsanmälan</t>
        </is>
      </c>
      <c r="C214" t="inlineStr">
        <is>
          <t>Föryngringsavverkning</t>
        </is>
      </c>
      <c r="D214" s="1" t="n">
        <v>45229</v>
      </c>
      <c r="E214" s="1" t="n">
        <v>46216</v>
      </c>
      <c r="F214" t="inlineStr">
        <is>
          <t>ÖSTERGÖTLANDS LÄN</t>
        </is>
      </c>
      <c r="G214" t="inlineStr">
        <is>
          <t>ÅTVIDABERG</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31359-2025</t>
        </is>
      </c>
      <c r="B215" t="inlineStr">
        <is>
          <t>avverkningsanmälan</t>
        </is>
      </c>
      <c r="C215" t="inlineStr">
        <is>
          <t>Föryngringsavverkning</t>
        </is>
      </c>
      <c r="D215" s="1" t="n">
        <v>45833</v>
      </c>
      <c r="E215" s="1" t="n">
        <v>46216</v>
      </c>
      <c r="F215" t="inlineStr">
        <is>
          <t>ÖSTERGÖTLANDS LÄN</t>
        </is>
      </c>
      <c r="G215" t="inlineStr">
        <is>
          <t>ÅTVIDABERG</t>
        </is>
      </c>
      <c r="H215" t="inlineStr">
        <is>
          <t>Sveaskog</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31366-2025</t>
        </is>
      </c>
      <c r="B216" t="inlineStr">
        <is>
          <t>avverkningsanmälan</t>
        </is>
      </c>
      <c r="C216" t="inlineStr">
        <is>
          <t>Föryngringsavverkning</t>
        </is>
      </c>
      <c r="D216" s="1" t="n">
        <v>45833</v>
      </c>
      <c r="E216" s="1" t="n">
        <v>46216</v>
      </c>
      <c r="F216" t="inlineStr">
        <is>
          <t>ÖSTERGÖTLANDS LÄN</t>
        </is>
      </c>
      <c r="G216" t="inlineStr">
        <is>
          <t>ÅTVIDABERG</t>
        </is>
      </c>
      <c r="H216" t="inlineStr">
        <is>
          <t>Sveaskog</t>
        </is>
      </c>
      <c r="I216" t="n">
        <v>6.3</v>
      </c>
      <c r="J216" t="n">
        <v>0</v>
      </c>
      <c r="K216" t="n">
        <v>0</v>
      </c>
      <c r="L216" t="n">
        <v>0</v>
      </c>
      <c r="M216" t="n">
        <v>0</v>
      </c>
      <c r="N216" t="n">
        <v>0</v>
      </c>
      <c r="O216" t="n">
        <v>0</v>
      </c>
      <c r="P216" t="n">
        <v>0</v>
      </c>
      <c r="Q216" t="n">
        <v>0</v>
      </c>
      <c r="R216" t="n">
        <v>0</v>
      </c>
      <c r="S216" t="n">
        <v>0</v>
      </c>
      <c r="T216" t="n">
        <v>0</v>
      </c>
      <c r="U216" s="2" t="inlineStr"/>
    </row>
    <row r="217" ht="15" customHeight="1">
      <c r="A217" t="inlineStr">
        <is>
          <t>A 31362-2025</t>
        </is>
      </c>
      <c r="B217" t="inlineStr">
        <is>
          <t>avverkningsanmälan</t>
        </is>
      </c>
      <c r="C217" t="inlineStr">
        <is>
          <t>Föryngringsavverkning</t>
        </is>
      </c>
      <c r="D217" s="1" t="n">
        <v>45833</v>
      </c>
      <c r="E217" s="1" t="n">
        <v>46216</v>
      </c>
      <c r="F217" t="inlineStr">
        <is>
          <t>ÖSTERGÖTLANDS LÄN</t>
        </is>
      </c>
      <c r="G217" t="inlineStr">
        <is>
          <t>ÅTVIDABERG</t>
        </is>
      </c>
      <c r="H217" t="inlineStr">
        <is>
          <t>Sveaskog</t>
        </is>
      </c>
      <c r="I217" t="n">
        <v>2</v>
      </c>
      <c r="J217" t="n">
        <v>0</v>
      </c>
      <c r="K217" t="n">
        <v>0</v>
      </c>
      <c r="L217" t="n">
        <v>0</v>
      </c>
      <c r="M217" t="n">
        <v>0</v>
      </c>
      <c r="N217" t="n">
        <v>0</v>
      </c>
      <c r="O217" t="n">
        <v>0</v>
      </c>
      <c r="P217" t="n">
        <v>0</v>
      </c>
      <c r="Q217" t="n">
        <v>0</v>
      </c>
      <c r="R217" t="n">
        <v>0</v>
      </c>
      <c r="S217" t="n">
        <v>0</v>
      </c>
      <c r="T217" t="n">
        <v>0</v>
      </c>
      <c r="U217" s="2" t="inlineStr"/>
    </row>
    <row r="218" ht="15" customHeight="1">
      <c r="A218" t="inlineStr">
        <is>
          <t>A 31368-2025</t>
        </is>
      </c>
      <c r="B218" t="inlineStr">
        <is>
          <t>avverkningsanmälan</t>
        </is>
      </c>
      <c r="C218" t="inlineStr">
        <is>
          <t>Föryngringsavverkning</t>
        </is>
      </c>
      <c r="D218" s="1" t="n">
        <v>45833</v>
      </c>
      <c r="E218" s="1" t="n">
        <v>46216</v>
      </c>
      <c r="F218" t="inlineStr">
        <is>
          <t>ÖSTERGÖTLANDS LÄN</t>
        </is>
      </c>
      <c r="G218" t="inlineStr">
        <is>
          <t>ÅTVIDABERG</t>
        </is>
      </c>
      <c r="H218" t="inlineStr">
        <is>
          <t>Sveaskog</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31369-2025</t>
        </is>
      </c>
      <c r="B219" t="inlineStr">
        <is>
          <t>avverkningsanmälan</t>
        </is>
      </c>
      <c r="C219" t="inlineStr">
        <is>
          <t>Föryngringsavverkning</t>
        </is>
      </c>
      <c r="D219" s="1" t="n">
        <v>45833</v>
      </c>
      <c r="E219" s="1" t="n">
        <v>46216</v>
      </c>
      <c r="F219" t="inlineStr">
        <is>
          <t>ÖSTERGÖTLANDS LÄN</t>
        </is>
      </c>
      <c r="G219" t="inlineStr">
        <is>
          <t>ÅTVIDABERG</t>
        </is>
      </c>
      <c r="H219" t="inlineStr">
        <is>
          <t>Sveaskog</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53158-2023</t>
        </is>
      </c>
      <c r="B220" t="inlineStr">
        <is>
          <t>avverkningsanmälan</t>
        </is>
      </c>
      <c r="C220" t="inlineStr">
        <is>
          <t>Föryngringsavverkning</t>
        </is>
      </c>
      <c r="D220" s="1" t="n">
        <v>45229</v>
      </c>
      <c r="E220" s="1" t="n">
        <v>46216</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19961-2024</t>
        </is>
      </c>
      <c r="B221" t="inlineStr">
        <is>
          <t>avverkningsanmälan</t>
        </is>
      </c>
      <c r="C221" t="inlineStr">
        <is>
          <t>Föryngringsavverkning</t>
        </is>
      </c>
      <c r="D221" s="1" t="n">
        <v>45433</v>
      </c>
      <c r="E221" s="1" t="n">
        <v>46216</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32349-2025</t>
        </is>
      </c>
      <c r="B222" t="inlineStr">
        <is>
          <t>avverkningsanmälan</t>
        </is>
      </c>
      <c r="C222" t="inlineStr">
        <is>
          <t>Föryngringsavverkning</t>
        </is>
      </c>
      <c r="D222" s="1" t="n">
        <v>45837</v>
      </c>
      <c r="E222" s="1" t="n">
        <v>46216</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32741-2023</t>
        </is>
      </c>
      <c r="B223" t="inlineStr">
        <is>
          <t>avverkningsanmälan</t>
        </is>
      </c>
      <c r="C223" t="inlineStr">
        <is>
          <t>Föryngringsavverkning</t>
        </is>
      </c>
      <c r="D223" s="1" t="n">
        <v>45122</v>
      </c>
      <c r="E223" s="1" t="n">
        <v>46216</v>
      </c>
      <c r="F223" t="inlineStr">
        <is>
          <t>ÖSTERGÖTLANDS LÄN</t>
        </is>
      </c>
      <c r="G223" t="inlineStr">
        <is>
          <t>ÅTVIDABERG</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44592-2025</t>
        </is>
      </c>
      <c r="B224" t="inlineStr">
        <is>
          <t>avverkningsanmälan</t>
        </is>
      </c>
      <c r="C224" t="inlineStr">
        <is>
          <t>Föryngringsavverkning</t>
        </is>
      </c>
      <c r="D224" s="1" t="n">
        <v>45917</v>
      </c>
      <c r="E224" s="1" t="n">
        <v>46216</v>
      </c>
      <c r="F224" t="inlineStr">
        <is>
          <t>ÖSTERGÖTLANDS LÄN</t>
        </is>
      </c>
      <c r="G224" t="inlineStr">
        <is>
          <t>ÅTVIDABERG</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44372-2025</t>
        </is>
      </c>
      <c r="B225" t="inlineStr">
        <is>
          <t>avverkningsanmälan</t>
        </is>
      </c>
      <c r="C225" t="inlineStr">
        <is>
          <t>Föryngringsavverkning</t>
        </is>
      </c>
      <c r="D225" s="1" t="n">
        <v>45916</v>
      </c>
      <c r="E225" s="1" t="n">
        <v>46216</v>
      </c>
      <c r="F225" t="inlineStr">
        <is>
          <t>ÖSTERGÖTLANDS LÄN</t>
        </is>
      </c>
      <c r="G225" t="inlineStr">
        <is>
          <t>ÅTVIDABERG</t>
        </is>
      </c>
      <c r="H225" t="inlineStr">
        <is>
          <t>Sveaskog</t>
        </is>
      </c>
      <c r="I225" t="n">
        <v>5.4</v>
      </c>
      <c r="J225" t="n">
        <v>0</v>
      </c>
      <c r="K225" t="n">
        <v>0</v>
      </c>
      <c r="L225" t="n">
        <v>0</v>
      </c>
      <c r="M225" t="n">
        <v>0</v>
      </c>
      <c r="N225" t="n">
        <v>0</v>
      </c>
      <c r="O225" t="n">
        <v>0</v>
      </c>
      <c r="P225" t="n">
        <v>0</v>
      </c>
      <c r="Q225" t="n">
        <v>0</v>
      </c>
      <c r="R225" t="n">
        <v>0</v>
      </c>
      <c r="S225" t="n">
        <v>0</v>
      </c>
      <c r="T225" t="n">
        <v>0</v>
      </c>
      <c r="U225" s="2" t="inlineStr"/>
    </row>
    <row r="226" ht="15" customHeight="1">
      <c r="A226" t="inlineStr">
        <is>
          <t>A 44430-2025</t>
        </is>
      </c>
      <c r="B226" t="inlineStr">
        <is>
          <t>avverkningsanmälan</t>
        </is>
      </c>
      <c r="C226" t="inlineStr">
        <is>
          <t>Föryngringsavverkning</t>
        </is>
      </c>
      <c r="D226" s="1" t="n">
        <v>45916</v>
      </c>
      <c r="E226" s="1" t="n">
        <v>46216</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11532-2025</t>
        </is>
      </c>
      <c r="B227" t="inlineStr">
        <is>
          <t>avverkningsanmälan</t>
        </is>
      </c>
      <c r="C227" t="inlineStr">
        <is>
          <t>Föryngringsavverkning</t>
        </is>
      </c>
      <c r="D227" s="1" t="n">
        <v>45727</v>
      </c>
      <c r="E227" s="1" t="n">
        <v>46216</v>
      </c>
      <c r="F227" t="inlineStr">
        <is>
          <t>ÖSTERGÖTLANDS LÄN</t>
        </is>
      </c>
      <c r="G227" t="inlineStr">
        <is>
          <t>ÅTVIDABERG</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13591-2025</t>
        </is>
      </c>
      <c r="B228" t="inlineStr">
        <is>
          <t>avverkningsanmälan</t>
        </is>
      </c>
      <c r="C228" t="inlineStr">
        <is>
          <t>Föryngringsavverkning</t>
        </is>
      </c>
      <c r="D228" s="1" t="n">
        <v>45736</v>
      </c>
      <c r="E228" s="1" t="n">
        <v>46216</v>
      </c>
      <c r="F228" t="inlineStr">
        <is>
          <t>ÖSTERGÖTLANDS LÄN</t>
        </is>
      </c>
      <c r="G228" t="inlineStr">
        <is>
          <t>ÅTVIDABERG</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61550-2024</t>
        </is>
      </c>
      <c r="B229" t="inlineStr">
        <is>
          <t>avverkningsanmälan</t>
        </is>
      </c>
      <c r="C229" t="inlineStr">
        <is>
          <t>Föryngringsavverkning</t>
        </is>
      </c>
      <c r="D229" s="1" t="n">
        <v>45646</v>
      </c>
      <c r="E229" s="1" t="n">
        <v>46216</v>
      </c>
      <c r="F229" t="inlineStr">
        <is>
          <t>ÖSTERGÖTLANDS LÄN</t>
        </is>
      </c>
      <c r="G229" t="inlineStr">
        <is>
          <t>ÅTVIDABERG</t>
        </is>
      </c>
      <c r="H229" t="inlineStr">
        <is>
          <t>Övriga Aktiebolag</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45814-2025</t>
        </is>
      </c>
      <c r="B230" t="inlineStr">
        <is>
          <t>avverkningsanmälan</t>
        </is>
      </c>
      <c r="C230" t="inlineStr">
        <is>
          <t>Föryngringsavverkning</t>
        </is>
      </c>
      <c r="D230" s="1" t="n">
        <v>45923</v>
      </c>
      <c r="E230" s="1" t="n">
        <v>46216</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60513-2023</t>
        </is>
      </c>
      <c r="B231" t="inlineStr">
        <is>
          <t>avverkningsanmälan</t>
        </is>
      </c>
      <c r="C231" t="inlineStr">
        <is>
          <t>Föryngringsavverkning</t>
        </is>
      </c>
      <c r="D231" s="1" t="n">
        <v>45259</v>
      </c>
      <c r="E231" s="1" t="n">
        <v>46216</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60514-2023</t>
        </is>
      </c>
      <c r="B232" t="inlineStr">
        <is>
          <t>avverkningsanmälan</t>
        </is>
      </c>
      <c r="C232" t="inlineStr">
        <is>
          <t>Föryngringsavverkning</t>
        </is>
      </c>
      <c r="D232" s="1" t="n">
        <v>45259</v>
      </c>
      <c r="E232" s="1" t="n">
        <v>46216</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710-2025</t>
        </is>
      </c>
      <c r="B233" t="inlineStr">
        <is>
          <t>avverkningsanmälan</t>
        </is>
      </c>
      <c r="C233" t="inlineStr">
        <is>
          <t>Föryngringsavverkning</t>
        </is>
      </c>
      <c r="D233" s="1" t="n">
        <v>45665</v>
      </c>
      <c r="E233" s="1" t="n">
        <v>46216</v>
      </c>
      <c r="F233" t="inlineStr">
        <is>
          <t>ÖSTERGÖTLANDS LÄN</t>
        </is>
      </c>
      <c r="G233" t="inlineStr">
        <is>
          <t>ÅTVIDABERG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34700-2025</t>
        </is>
      </c>
      <c r="B234" t="inlineStr">
        <is>
          <t>avverkningsanmälan</t>
        </is>
      </c>
      <c r="C234" t="inlineStr">
        <is>
          <t>Föryngringsavverkning</t>
        </is>
      </c>
      <c r="D234" s="1" t="n">
        <v>45848</v>
      </c>
      <c r="E234" s="1" t="n">
        <v>46216</v>
      </c>
      <c r="F234" t="inlineStr">
        <is>
          <t>ÖSTERGÖTLANDS LÄN</t>
        </is>
      </c>
      <c r="G234" t="inlineStr">
        <is>
          <t>ÅTVIDABERG</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30891-2022</t>
        </is>
      </c>
      <c r="B235" t="inlineStr">
        <is>
          <t>avverkningsanmälan</t>
        </is>
      </c>
      <c r="C235" t="inlineStr">
        <is>
          <t>Föryngringsavverkning</t>
        </is>
      </c>
      <c r="D235" s="1" t="n">
        <v>44767</v>
      </c>
      <c r="E235" s="1" t="n">
        <v>46216</v>
      </c>
      <c r="F235" t="inlineStr">
        <is>
          <t>ÖSTERGÖTLANDS LÄN</t>
        </is>
      </c>
      <c r="G235" t="inlineStr">
        <is>
          <t>ÅTVIDABERG</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450-2023</t>
        </is>
      </c>
      <c r="B236" t="inlineStr">
        <is>
          <t>avverkningsanmälan</t>
        </is>
      </c>
      <c r="C236" t="inlineStr">
        <is>
          <t>Föryngringsavverkning</t>
        </is>
      </c>
      <c r="D236" s="1" t="n">
        <v>44929</v>
      </c>
      <c r="E236" s="1" t="n">
        <v>46216</v>
      </c>
      <c r="F236" t="inlineStr">
        <is>
          <t>ÖSTERGÖTLANDS LÄN</t>
        </is>
      </c>
      <c r="G236" t="inlineStr">
        <is>
          <t>ÅTVIDABERG</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47964-2025</t>
        </is>
      </c>
      <c r="B237" t="inlineStr">
        <is>
          <t>avverkningsanmälan</t>
        </is>
      </c>
      <c r="C237" t="inlineStr">
        <is>
          <t>Föryngringsavverkning</t>
        </is>
      </c>
      <c r="D237" s="1" t="n">
        <v>45932</v>
      </c>
      <c r="E237" s="1" t="n">
        <v>46216</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40535-2023</t>
        </is>
      </c>
      <c r="B238" t="inlineStr">
        <is>
          <t>avverkningsanmälan</t>
        </is>
      </c>
      <c r="C238" t="inlineStr">
        <is>
          <t>Föryngringsavverkning</t>
        </is>
      </c>
      <c r="D238" s="1" t="n">
        <v>45170</v>
      </c>
      <c r="E238" s="1" t="n">
        <v>46216</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50593-2021</t>
        </is>
      </c>
      <c r="B239" t="inlineStr">
        <is>
          <t>avverkningsanmälan</t>
        </is>
      </c>
      <c r="C239" t="inlineStr">
        <is>
          <t>Föryngringsavverkning</t>
        </is>
      </c>
      <c r="D239" s="1" t="n">
        <v>44459</v>
      </c>
      <c r="E239" s="1" t="n">
        <v>46216</v>
      </c>
      <c r="F239" t="inlineStr">
        <is>
          <t>ÖSTERGÖTLANDS LÄN</t>
        </is>
      </c>
      <c r="G239" t="inlineStr">
        <is>
          <t>ÅTVIDABERG</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49499-2025</t>
        </is>
      </c>
      <c r="B240" t="inlineStr">
        <is>
          <t>avverkningsanmälan</t>
        </is>
      </c>
      <c r="C240" t="inlineStr">
        <is>
          <t>Föryngringsavverkning</t>
        </is>
      </c>
      <c r="D240" s="1" t="n">
        <v>45939</v>
      </c>
      <c r="E240" s="1" t="n">
        <v>46216</v>
      </c>
      <c r="F240" t="inlineStr">
        <is>
          <t>ÖSTERGÖTLANDS LÄN</t>
        </is>
      </c>
      <c r="G240" t="inlineStr">
        <is>
          <t>ÅTVIDABERG</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23520-2022</t>
        </is>
      </c>
      <c r="B241" t="inlineStr">
        <is>
          <t>avverkningsanmälan</t>
        </is>
      </c>
      <c r="C241" t="inlineStr">
        <is>
          <t>Föryngringsavverkning</t>
        </is>
      </c>
      <c r="D241" s="1" t="n">
        <v>44721</v>
      </c>
      <c r="E241" s="1" t="n">
        <v>46216</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50757-2025</t>
        </is>
      </c>
      <c r="B242" t="inlineStr">
        <is>
          <t>avverkningsanmälan</t>
        </is>
      </c>
      <c r="C242" t="inlineStr">
        <is>
          <t>Föryngringsavverkning</t>
        </is>
      </c>
      <c r="D242" s="1" t="n">
        <v>45946</v>
      </c>
      <c r="E242" s="1" t="n">
        <v>46216</v>
      </c>
      <c r="F242" t="inlineStr">
        <is>
          <t>ÖSTERGÖTLANDS LÄN</t>
        </is>
      </c>
      <c r="G242" t="inlineStr">
        <is>
          <t>ÅTVIDABERG</t>
        </is>
      </c>
      <c r="H242" t="inlineStr">
        <is>
          <t>Övriga Aktiebolag</t>
        </is>
      </c>
      <c r="I242" t="n">
        <v>20.4</v>
      </c>
      <c r="J242" t="n">
        <v>0</v>
      </c>
      <c r="K242" t="n">
        <v>0</v>
      </c>
      <c r="L242" t="n">
        <v>0</v>
      </c>
      <c r="M242" t="n">
        <v>0</v>
      </c>
      <c r="N242" t="n">
        <v>0</v>
      </c>
      <c r="O242" t="n">
        <v>0</v>
      </c>
      <c r="P242" t="n">
        <v>0</v>
      </c>
      <c r="Q242" t="n">
        <v>0</v>
      </c>
      <c r="R242" t="n">
        <v>0</v>
      </c>
      <c r="S242" t="n">
        <v>0</v>
      </c>
      <c r="T242" t="n">
        <v>0</v>
      </c>
      <c r="U242" s="2" t="inlineStr"/>
    </row>
    <row r="243" ht="15" customHeight="1">
      <c r="A243" t="inlineStr">
        <is>
          <t>A 5492-2024</t>
        </is>
      </c>
      <c r="B243" t="inlineStr">
        <is>
          <t>avverkningsanmälan</t>
        </is>
      </c>
      <c r="C243" t="inlineStr">
        <is>
          <t>Föryngringsavverkning</t>
        </is>
      </c>
      <c r="D243" s="1" t="n">
        <v>45334</v>
      </c>
      <c r="E243" s="1" t="n">
        <v>46216</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s="2" t="inlineStr"/>
    </row>
    <row r="244" ht="15" customHeight="1">
      <c r="A244" t="inlineStr">
        <is>
          <t>A 3832-2026</t>
        </is>
      </c>
      <c r="B244" t="inlineStr">
        <is>
          <t>avverkningsanmälan</t>
        </is>
      </c>
      <c r="C244" t="inlineStr">
        <is>
          <t>Föryngringsavverkning</t>
        </is>
      </c>
      <c r="D244" s="1" t="n">
        <v>46043</v>
      </c>
      <c r="E244" s="1" t="n">
        <v>46216</v>
      </c>
      <c r="F244" t="inlineStr">
        <is>
          <t>ÖSTERGÖTLANDS LÄN</t>
        </is>
      </c>
      <c r="G244" t="inlineStr">
        <is>
          <t>ÅTVIDABERG</t>
        </is>
      </c>
      <c r="H244" t="inlineStr">
        <is>
          <t>Övriga Aktiebolag</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50830-2025</t>
        </is>
      </c>
      <c r="B245" t="inlineStr">
        <is>
          <t>avverkningsanmälan</t>
        </is>
      </c>
      <c r="C245" t="inlineStr">
        <is>
          <t>Föryngringsavverkning</t>
        </is>
      </c>
      <c r="D245" s="1" t="n">
        <v>45946</v>
      </c>
      <c r="E245" s="1" t="n">
        <v>46216</v>
      </c>
      <c r="F245" t="inlineStr">
        <is>
          <t>ÖSTERGÖTLANDS LÄN</t>
        </is>
      </c>
      <c r="G245" t="inlineStr">
        <is>
          <t>ÅTVIDABERG</t>
        </is>
      </c>
      <c r="H245" t="inlineStr">
        <is>
          <t>Övriga Aktiebolag</t>
        </is>
      </c>
      <c r="I245" t="n">
        <v>8.6</v>
      </c>
      <c r="J245" t="n">
        <v>0</v>
      </c>
      <c r="K245" t="n">
        <v>0</v>
      </c>
      <c r="L245" t="n">
        <v>0</v>
      </c>
      <c r="M245" t="n">
        <v>0</v>
      </c>
      <c r="N245" t="n">
        <v>0</v>
      </c>
      <c r="O245" t="n">
        <v>0</v>
      </c>
      <c r="P245" t="n">
        <v>0</v>
      </c>
      <c r="Q245" t="n">
        <v>0</v>
      </c>
      <c r="R245" t="n">
        <v>0</v>
      </c>
      <c r="S245" t="n">
        <v>0</v>
      </c>
      <c r="T245" t="n">
        <v>0</v>
      </c>
      <c r="U245" s="2" t="inlineStr"/>
    </row>
    <row r="246" ht="15" customHeight="1">
      <c r="A246" t="inlineStr">
        <is>
          <t>A 30895-2022</t>
        </is>
      </c>
      <c r="B246" t="inlineStr">
        <is>
          <t>avverkningsanmälan</t>
        </is>
      </c>
      <c r="C246" t="inlineStr">
        <is>
          <t>Föryngringsavverkning</t>
        </is>
      </c>
      <c r="D246" s="1" t="n">
        <v>44767</v>
      </c>
      <c r="E246" s="1" t="n">
        <v>46216</v>
      </c>
      <c r="F246" t="inlineStr">
        <is>
          <t>ÖSTERGÖTLANDS LÄN</t>
        </is>
      </c>
      <c r="G246" t="inlineStr">
        <is>
          <t>ÅTVIDABERG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3910-2026</t>
        </is>
      </c>
      <c r="B247" t="inlineStr">
        <is>
          <t>avverkningsanmälan</t>
        </is>
      </c>
      <c r="C247" t="inlineStr">
        <is>
          <t>Föryngringsavverkning</t>
        </is>
      </c>
      <c r="D247" s="1" t="n">
        <v>46043</v>
      </c>
      <c r="E247" s="1" t="n">
        <v>46216</v>
      </c>
      <c r="F247" t="inlineStr">
        <is>
          <t>ÖSTERGÖTLANDS LÄN</t>
        </is>
      </c>
      <c r="G247" t="inlineStr">
        <is>
          <t>ÅTVIDABERG</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3917-2026</t>
        </is>
      </c>
      <c r="B248" t="inlineStr">
        <is>
          <t>avverkningsanmälan</t>
        </is>
      </c>
      <c r="C248" t="inlineStr">
        <is>
          <t>Föryngringsavverkning</t>
        </is>
      </c>
      <c r="D248" s="1" t="n">
        <v>46043</v>
      </c>
      <c r="E248" s="1" t="n">
        <v>46216</v>
      </c>
      <c r="F248" t="inlineStr">
        <is>
          <t>ÖSTERGÖTLANDS LÄN</t>
        </is>
      </c>
      <c r="G248" t="inlineStr">
        <is>
          <t>ÅTVIDABERG</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3710-2026</t>
        </is>
      </c>
      <c r="B249" t="inlineStr">
        <is>
          <t>avverkningsanmälan</t>
        </is>
      </c>
      <c r="C249" t="inlineStr">
        <is>
          <t>Föryngringsavverkning</t>
        </is>
      </c>
      <c r="D249" s="1" t="n">
        <v>46043</v>
      </c>
      <c r="E249" s="1" t="n">
        <v>46216</v>
      </c>
      <c r="F249" t="inlineStr">
        <is>
          <t>ÖSTERGÖTLANDS LÄN</t>
        </is>
      </c>
      <c r="G249" t="inlineStr">
        <is>
          <t>ÅTVIDABERG</t>
        </is>
      </c>
      <c r="H249" t="inlineStr">
        <is>
          <t>Övriga Aktiebolag</t>
        </is>
      </c>
      <c r="I249" t="n">
        <v>2.5</v>
      </c>
      <c r="J249" t="n">
        <v>0</v>
      </c>
      <c r="K249" t="n">
        <v>0</v>
      </c>
      <c r="L249" t="n">
        <v>0</v>
      </c>
      <c r="M249" t="n">
        <v>0</v>
      </c>
      <c r="N249" t="n">
        <v>0</v>
      </c>
      <c r="O249" t="n">
        <v>0</v>
      </c>
      <c r="P249" t="n">
        <v>0</v>
      </c>
      <c r="Q249" t="n">
        <v>0</v>
      </c>
      <c r="R249" t="n">
        <v>0</v>
      </c>
      <c r="S249" t="n">
        <v>0</v>
      </c>
      <c r="T249" t="n">
        <v>0</v>
      </c>
      <c r="U249" s="2" t="inlineStr"/>
    </row>
    <row r="250" ht="15" customHeight="1">
      <c r="A250" t="inlineStr">
        <is>
          <t>A 51746-2025</t>
        </is>
      </c>
      <c r="B250" t="inlineStr">
        <is>
          <t>avverkningsanmälan</t>
        </is>
      </c>
      <c r="C250" t="inlineStr">
        <is>
          <t>Föryngringsavverkning</t>
        </is>
      </c>
      <c r="D250" s="1" t="n">
        <v>45951</v>
      </c>
      <c r="E250" s="1" t="n">
        <v>46216</v>
      </c>
      <c r="F250" t="inlineStr">
        <is>
          <t>ÖSTERGÖTLANDS LÄN</t>
        </is>
      </c>
      <c r="G250" t="inlineStr">
        <is>
          <t>ÅTVIDABERG</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51753-2025</t>
        </is>
      </c>
      <c r="B251" t="inlineStr">
        <is>
          <t>avverkningsanmälan</t>
        </is>
      </c>
      <c r="C251" t="inlineStr">
        <is>
          <t>Föryngringsavverkning</t>
        </is>
      </c>
      <c r="D251" s="1" t="n">
        <v>45951</v>
      </c>
      <c r="E251" s="1" t="n">
        <v>46216</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9196-2024</t>
        </is>
      </c>
      <c r="B252" t="inlineStr">
        <is>
          <t>avverkningsanmälan</t>
        </is>
      </c>
      <c r="C252" t="inlineStr">
        <is>
          <t>Föryngringsavverkning</t>
        </is>
      </c>
      <c r="D252" s="1" t="n">
        <v>45358</v>
      </c>
      <c r="E252" s="1" t="n">
        <v>46216</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50811-2023</t>
        </is>
      </c>
      <c r="B253" t="inlineStr">
        <is>
          <t>avverkningsanmälan</t>
        </is>
      </c>
      <c r="C253" t="inlineStr">
        <is>
          <t>Föryngringsavverkning</t>
        </is>
      </c>
      <c r="D253" s="1" t="n">
        <v>45217</v>
      </c>
      <c r="E253" s="1" t="n">
        <v>46216</v>
      </c>
      <c r="F253" t="inlineStr">
        <is>
          <t>ÖSTERGÖTLANDS LÄN</t>
        </is>
      </c>
      <c r="G253" t="inlineStr">
        <is>
          <t>ÅTVIDABERG</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51744-2025</t>
        </is>
      </c>
      <c r="B254" t="inlineStr">
        <is>
          <t>avverkningsanmälan</t>
        </is>
      </c>
      <c r="C254" t="inlineStr">
        <is>
          <t>Föryngringsavverkning</t>
        </is>
      </c>
      <c r="D254" s="1" t="n">
        <v>45951</v>
      </c>
      <c r="E254" s="1" t="n">
        <v>46216</v>
      </c>
      <c r="F254" t="inlineStr">
        <is>
          <t>ÖSTERGÖTLANDS LÄN</t>
        </is>
      </c>
      <c r="G254" t="inlineStr">
        <is>
          <t>ÅTVIDABERG</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3729-2026</t>
        </is>
      </c>
      <c r="B255" t="inlineStr">
        <is>
          <t>avverkningsanmälan</t>
        </is>
      </c>
      <c r="C255" t="inlineStr">
        <is>
          <t>Föryngringsavverkning</t>
        </is>
      </c>
      <c r="D255" s="1" t="n">
        <v>46043</v>
      </c>
      <c r="E255" s="1" t="n">
        <v>46216</v>
      </c>
      <c r="F255" t="inlineStr">
        <is>
          <t>ÖSTERGÖTLANDS LÄN</t>
        </is>
      </c>
      <c r="G255" t="inlineStr">
        <is>
          <t>ÅTVIDABERG</t>
        </is>
      </c>
      <c r="H255" t="inlineStr">
        <is>
          <t>Övriga Aktiebolag</t>
        </is>
      </c>
      <c r="I255" t="n">
        <v>3.6</v>
      </c>
      <c r="J255" t="n">
        <v>0</v>
      </c>
      <c r="K255" t="n">
        <v>0</v>
      </c>
      <c r="L255" t="n">
        <v>0</v>
      </c>
      <c r="M255" t="n">
        <v>0</v>
      </c>
      <c r="N255" t="n">
        <v>0</v>
      </c>
      <c r="O255" t="n">
        <v>0</v>
      </c>
      <c r="P255" t="n">
        <v>0</v>
      </c>
      <c r="Q255" t="n">
        <v>0</v>
      </c>
      <c r="R255" t="n">
        <v>0</v>
      </c>
      <c r="S255" t="n">
        <v>0</v>
      </c>
      <c r="T255" t="n">
        <v>0</v>
      </c>
      <c r="U255" s="2" t="inlineStr"/>
    </row>
    <row r="256" ht="15" customHeight="1">
      <c r="A256" t="inlineStr">
        <is>
          <t>A 3763-2026</t>
        </is>
      </c>
      <c r="B256" t="inlineStr">
        <is>
          <t>avverkningsanmälan</t>
        </is>
      </c>
      <c r="C256" t="inlineStr">
        <is>
          <t>Föryngringsavverkning</t>
        </is>
      </c>
      <c r="D256" s="1" t="n">
        <v>46043</v>
      </c>
      <c r="E256" s="1" t="n">
        <v>46216</v>
      </c>
      <c r="F256" t="inlineStr">
        <is>
          <t>ÖSTERGÖTLANDS LÄN</t>
        </is>
      </c>
      <c r="G256" t="inlineStr">
        <is>
          <t>ÅTVIDABERG</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3770-2026</t>
        </is>
      </c>
      <c r="B257" t="inlineStr">
        <is>
          <t>avverkningsanmälan</t>
        </is>
      </c>
      <c r="C257" t="inlineStr">
        <is>
          <t>Föryngringsavverkning</t>
        </is>
      </c>
      <c r="D257" s="1" t="n">
        <v>46043</v>
      </c>
      <c r="E257" s="1" t="n">
        <v>46216</v>
      </c>
      <c r="F257" t="inlineStr">
        <is>
          <t>ÖSTERGÖTLANDS LÄN</t>
        </is>
      </c>
      <c r="G257" t="inlineStr">
        <is>
          <t>ÅTVIDABERG</t>
        </is>
      </c>
      <c r="I257" t="n">
        <v>2.2</v>
      </c>
      <c r="J257" t="n">
        <v>0</v>
      </c>
      <c r="K257" t="n">
        <v>0</v>
      </c>
      <c r="L257" t="n">
        <v>0</v>
      </c>
      <c r="M257" t="n">
        <v>0</v>
      </c>
      <c r="N257" t="n">
        <v>0</v>
      </c>
      <c r="O257" t="n">
        <v>0</v>
      </c>
      <c r="P257" t="n">
        <v>0</v>
      </c>
      <c r="Q257" t="n">
        <v>0</v>
      </c>
      <c r="R257" t="n">
        <v>0</v>
      </c>
      <c r="S257" t="n">
        <v>0</v>
      </c>
      <c r="T257" t="n">
        <v>0</v>
      </c>
      <c r="U257" s="2" t="inlineStr"/>
    </row>
    <row r="258" ht="15" customHeight="1">
      <c r="A258" t="inlineStr">
        <is>
          <t>A 3914-2026</t>
        </is>
      </c>
      <c r="B258" t="inlineStr">
        <is>
          <t>avverkningsanmälan</t>
        </is>
      </c>
      <c r="C258" t="inlineStr">
        <is>
          <t>Föryngringsavverkning</t>
        </is>
      </c>
      <c r="D258" s="1" t="n">
        <v>46043</v>
      </c>
      <c r="E258" s="1" t="n">
        <v>46216</v>
      </c>
      <c r="F258" t="inlineStr">
        <is>
          <t>ÖSTERGÖTLANDS LÄN</t>
        </is>
      </c>
      <c r="G258" t="inlineStr">
        <is>
          <t>ÅTVIDABERG</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22878-2023</t>
        </is>
      </c>
      <c r="B259" t="inlineStr">
        <is>
          <t>avverkningsanmälan</t>
        </is>
      </c>
      <c r="C259" t="inlineStr">
        <is>
          <t>Föryngringsavverkning</t>
        </is>
      </c>
      <c r="D259" s="1" t="n">
        <v>45072</v>
      </c>
      <c r="E259" s="1" t="n">
        <v>46216</v>
      </c>
      <c r="F259" t="inlineStr">
        <is>
          <t>ÖSTERGÖTLANDS LÄN</t>
        </is>
      </c>
      <c r="G259" t="inlineStr">
        <is>
          <t>ÅTVIDABERG</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4401-2026</t>
        </is>
      </c>
      <c r="B260" t="inlineStr">
        <is>
          <t>avverkningsanmälan</t>
        </is>
      </c>
      <c r="C260" t="inlineStr">
        <is>
          <t>Föryngringsavverkning</t>
        </is>
      </c>
      <c r="D260" s="1" t="n">
        <v>46045</v>
      </c>
      <c r="E260" s="1" t="n">
        <v>46216</v>
      </c>
      <c r="F260" t="inlineStr">
        <is>
          <t>ÖSTERGÖTLANDS LÄN</t>
        </is>
      </c>
      <c r="G260" t="inlineStr">
        <is>
          <t>ÅTVIDABERG</t>
        </is>
      </c>
      <c r="H260" t="inlineStr">
        <is>
          <t>Övriga Aktiebolag</t>
        </is>
      </c>
      <c r="I260" t="n">
        <v>3.8</v>
      </c>
      <c r="J260" t="n">
        <v>0</v>
      </c>
      <c r="K260" t="n">
        <v>0</v>
      </c>
      <c r="L260" t="n">
        <v>0</v>
      </c>
      <c r="M260" t="n">
        <v>0</v>
      </c>
      <c r="N260" t="n">
        <v>0</v>
      </c>
      <c r="O260" t="n">
        <v>0</v>
      </c>
      <c r="P260" t="n">
        <v>0</v>
      </c>
      <c r="Q260" t="n">
        <v>0</v>
      </c>
      <c r="R260" t="n">
        <v>0</v>
      </c>
      <c r="S260" t="n">
        <v>0</v>
      </c>
      <c r="T260" t="n">
        <v>0</v>
      </c>
      <c r="U260" s="2" t="inlineStr"/>
    </row>
    <row r="261" ht="15" customHeight="1">
      <c r="A261" t="inlineStr">
        <is>
          <t>A 4355-2026</t>
        </is>
      </c>
      <c r="B261" t="inlineStr">
        <is>
          <t>avverkningsanmälan</t>
        </is>
      </c>
      <c r="C261" t="inlineStr">
        <is>
          <t>Föryngringsavverkning</t>
        </is>
      </c>
      <c r="D261" s="1" t="n">
        <v>46045</v>
      </c>
      <c r="E261" s="1" t="n">
        <v>46216</v>
      </c>
      <c r="F261" t="inlineStr">
        <is>
          <t>ÖSTERGÖTLANDS LÄN</t>
        </is>
      </c>
      <c r="G261" t="inlineStr">
        <is>
          <t>ÅTVIDABERG</t>
        </is>
      </c>
      <c r="H261" t="inlineStr">
        <is>
          <t>Övriga Aktiebolag</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3950-2026</t>
        </is>
      </c>
      <c r="B262" t="inlineStr">
        <is>
          <t>avverkningsanmälan</t>
        </is>
      </c>
      <c r="C262" t="inlineStr">
        <is>
          <t>Föryngringsavverkning</t>
        </is>
      </c>
      <c r="D262" s="1" t="n">
        <v>46044</v>
      </c>
      <c r="E262" s="1" t="n">
        <v>46216</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52201-2024</t>
        </is>
      </c>
      <c r="B263" t="inlineStr">
        <is>
          <t>avverkningsanmälan</t>
        </is>
      </c>
      <c r="C263" t="inlineStr">
        <is>
          <t>Föryngringsavverkning</t>
        </is>
      </c>
      <c r="D263" s="1" t="n">
        <v>45608</v>
      </c>
      <c r="E263" s="1" t="n">
        <v>46216</v>
      </c>
      <c r="F263" t="inlineStr">
        <is>
          <t>ÖSTERGÖTLANDS LÄN</t>
        </is>
      </c>
      <c r="G263" t="inlineStr">
        <is>
          <t>ÅTVIDABERG</t>
        </is>
      </c>
      <c r="H263" t="inlineStr">
        <is>
          <t>Övriga Aktiebolag</t>
        </is>
      </c>
      <c r="I263" t="n">
        <v>10.8</v>
      </c>
      <c r="J263" t="n">
        <v>0</v>
      </c>
      <c r="K263" t="n">
        <v>0</v>
      </c>
      <c r="L263" t="n">
        <v>0</v>
      </c>
      <c r="M263" t="n">
        <v>0</v>
      </c>
      <c r="N263" t="n">
        <v>0</v>
      </c>
      <c r="O263" t="n">
        <v>0</v>
      </c>
      <c r="P263" t="n">
        <v>0</v>
      </c>
      <c r="Q263" t="n">
        <v>0</v>
      </c>
      <c r="R263" t="n">
        <v>0</v>
      </c>
      <c r="S263" t="n">
        <v>0</v>
      </c>
      <c r="T263" t="n">
        <v>0</v>
      </c>
      <c r="U263" s="2" t="inlineStr"/>
    </row>
    <row r="264" ht="15" customHeight="1">
      <c r="A264" t="inlineStr">
        <is>
          <t>A 52216-2024</t>
        </is>
      </c>
      <c r="B264" t="inlineStr">
        <is>
          <t>avverkningsanmälan</t>
        </is>
      </c>
      <c r="C264" t="inlineStr">
        <is>
          <t>Föryngringsavverkning</t>
        </is>
      </c>
      <c r="D264" s="1" t="n">
        <v>45608</v>
      </c>
      <c r="E264" s="1" t="n">
        <v>46216</v>
      </c>
      <c r="F264" t="inlineStr">
        <is>
          <t>ÖSTERGÖTLANDS LÄN</t>
        </is>
      </c>
      <c r="G264" t="inlineStr">
        <is>
          <t>ÅTVIDABERG</t>
        </is>
      </c>
      <c r="H264" t="inlineStr">
        <is>
          <t>Övriga Aktiebolag</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4400-2026</t>
        </is>
      </c>
      <c r="B265" t="inlineStr">
        <is>
          <t>avverkningsanmälan</t>
        </is>
      </c>
      <c r="C265" t="inlineStr">
        <is>
          <t>Föryngringsavverkning</t>
        </is>
      </c>
      <c r="D265" s="1" t="n">
        <v>46045</v>
      </c>
      <c r="E265" s="1" t="n">
        <v>46216</v>
      </c>
      <c r="F265" t="inlineStr">
        <is>
          <t>ÖSTERGÖTLANDS LÄN</t>
        </is>
      </c>
      <c r="G265" t="inlineStr">
        <is>
          <t>ÅTVIDABERG</t>
        </is>
      </c>
      <c r="H265" t="inlineStr">
        <is>
          <t>Övriga Aktiebolag</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1422-2023</t>
        </is>
      </c>
      <c r="B266" t="inlineStr">
        <is>
          <t>avverkningsanmälan</t>
        </is>
      </c>
      <c r="C266" t="inlineStr">
        <is>
          <t>Föryngringsavverkning</t>
        </is>
      </c>
      <c r="D266" s="1" t="n">
        <v>44937</v>
      </c>
      <c r="E266" s="1" t="n">
        <v>46216</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52390-2025</t>
        </is>
      </c>
      <c r="B267" t="inlineStr">
        <is>
          <t>avverkningsanmälan</t>
        </is>
      </c>
      <c r="C267" t="inlineStr">
        <is>
          <t>Avverkning för annat ändamål</t>
        </is>
      </c>
      <c r="D267" s="1" t="n">
        <v>45954</v>
      </c>
      <c r="E267" s="1" t="n">
        <v>46216</v>
      </c>
      <c r="F267" t="inlineStr">
        <is>
          <t>ÖSTERGÖTLANDS LÄN</t>
        </is>
      </c>
      <c r="G267" t="inlineStr">
        <is>
          <t>ÅTVIDABERG</t>
        </is>
      </c>
      <c r="H267" t="inlineStr">
        <is>
          <t>Sveaskog</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3949-2026</t>
        </is>
      </c>
      <c r="B268" t="inlineStr">
        <is>
          <t>avverkningsanmälan</t>
        </is>
      </c>
      <c r="C268" t="inlineStr">
        <is>
          <t>Föryngringsavverkning</t>
        </is>
      </c>
      <c r="D268" s="1" t="n">
        <v>46044</v>
      </c>
      <c r="E268" s="1" t="n">
        <v>46216</v>
      </c>
      <c r="F268" t="inlineStr">
        <is>
          <t>ÖSTERGÖTLANDS LÄN</t>
        </is>
      </c>
      <c r="G268" t="inlineStr">
        <is>
          <t>ÅTVIDABERG</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4313-2026</t>
        </is>
      </c>
      <c r="B269" t="inlineStr">
        <is>
          <t>avverkningsanmälan</t>
        </is>
      </c>
      <c r="C269" t="inlineStr">
        <is>
          <t>Föryngringsavverkning</t>
        </is>
      </c>
      <c r="D269" s="1" t="n">
        <v>46045</v>
      </c>
      <c r="E269" s="1" t="n">
        <v>46216</v>
      </c>
      <c r="F269" t="inlineStr">
        <is>
          <t>ÖSTERGÖTLANDS LÄN</t>
        </is>
      </c>
      <c r="G269" t="inlineStr">
        <is>
          <t>ÅTVIDABERG</t>
        </is>
      </c>
      <c r="H269" t="inlineStr">
        <is>
          <t>Övriga Aktiebolag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48492-2023</t>
        </is>
      </c>
      <c r="B270" t="inlineStr">
        <is>
          <t>avverkningsanmälan</t>
        </is>
      </c>
      <c r="C270" t="inlineStr">
        <is>
          <t>Föryngringsavverkning</t>
        </is>
      </c>
      <c r="D270" s="1" t="n">
        <v>45205</v>
      </c>
      <c r="E270" s="1" t="n">
        <v>46216</v>
      </c>
      <c r="F270" t="inlineStr">
        <is>
          <t>ÖSTERGÖTLANDS LÄN</t>
        </is>
      </c>
      <c r="G270" t="inlineStr">
        <is>
          <t>ÅTVIDABERG</t>
        </is>
      </c>
      <c r="H270" t="inlineStr">
        <is>
          <t>Övriga statliga verk och myndigheter</t>
        </is>
      </c>
      <c r="I270" t="n">
        <v>6.5</v>
      </c>
      <c r="J270" t="n">
        <v>0</v>
      </c>
      <c r="K270" t="n">
        <v>0</v>
      </c>
      <c r="L270" t="n">
        <v>0</v>
      </c>
      <c r="M270" t="n">
        <v>0</v>
      </c>
      <c r="N270" t="n">
        <v>0</v>
      </c>
      <c r="O270" t="n">
        <v>0</v>
      </c>
      <c r="P270" t="n">
        <v>0</v>
      </c>
      <c r="Q270" t="n">
        <v>0</v>
      </c>
      <c r="R270" t="n">
        <v>0</v>
      </c>
      <c r="S270" t="n">
        <v>0</v>
      </c>
      <c r="T270" t="n">
        <v>0</v>
      </c>
      <c r="U270" s="2" t="inlineStr"/>
    </row>
    <row r="271" ht="15" customHeight="1">
      <c r="A271" t="inlineStr">
        <is>
          <t>A 53234-2022</t>
        </is>
      </c>
      <c r="B271" t="inlineStr">
        <is>
          <t>avverkningsanmälan</t>
        </is>
      </c>
      <c r="C271" t="inlineStr">
        <is>
          <t>Föryngringsavverkning</t>
        </is>
      </c>
      <c r="D271" s="1" t="n">
        <v>44876</v>
      </c>
      <c r="E271" s="1" t="n">
        <v>46216</v>
      </c>
      <c r="F271" t="inlineStr">
        <is>
          <t>ÖSTERGÖTLANDS LÄN</t>
        </is>
      </c>
      <c r="G271" t="inlineStr">
        <is>
          <t>ÅTVIDABERG</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23645-2023</t>
        </is>
      </c>
      <c r="B272" t="inlineStr">
        <is>
          <t>avverkningsanmälan</t>
        </is>
      </c>
      <c r="C272" t="inlineStr">
        <is>
          <t>Föryngringsavverkning</t>
        </is>
      </c>
      <c r="D272" s="1" t="n">
        <v>45077</v>
      </c>
      <c r="E272" s="1" t="n">
        <v>46216</v>
      </c>
      <c r="F272" t="inlineStr">
        <is>
          <t>ÖSTERGÖTLANDS LÄN</t>
        </is>
      </c>
      <c r="G272" t="inlineStr">
        <is>
          <t>ÅTVIDABERG</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1016-2023</t>
        </is>
      </c>
      <c r="B273" t="inlineStr">
        <is>
          <t>avverkningsanmälan</t>
        </is>
      </c>
      <c r="C273" t="inlineStr">
        <is>
          <t>Föryngringsavverkning</t>
        </is>
      </c>
      <c r="D273" s="1" t="n">
        <v>44935</v>
      </c>
      <c r="E273" s="1" t="n">
        <v>46216</v>
      </c>
      <c r="F273" t="inlineStr">
        <is>
          <t>ÖSTERGÖTLANDS LÄN</t>
        </is>
      </c>
      <c r="G273" t="inlineStr">
        <is>
          <t>ÅTVIDABERG</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7091-2024</t>
        </is>
      </c>
      <c r="B274" t="inlineStr">
        <is>
          <t>avverkningsanmälan</t>
        </is>
      </c>
      <c r="C274" t="inlineStr">
        <is>
          <t>Föryngringsavverkning</t>
        </is>
      </c>
      <c r="D274" s="1" t="n">
        <v>45343</v>
      </c>
      <c r="E274" s="1" t="n">
        <v>46216</v>
      </c>
      <c r="F274" t="inlineStr">
        <is>
          <t>ÖSTERGÖTLANDS LÄN</t>
        </is>
      </c>
      <c r="G274" t="inlineStr">
        <is>
          <t>ÅTVIDABERG</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4585-2026</t>
        </is>
      </c>
      <c r="B275" t="inlineStr">
        <is>
          <t>avverkningsanmälan</t>
        </is>
      </c>
      <c r="C275" t="inlineStr">
        <is>
          <t>Föryngringsavverkning</t>
        </is>
      </c>
      <c r="D275" s="1" t="n">
        <v>46048</v>
      </c>
      <c r="E275" s="1" t="n">
        <v>46216</v>
      </c>
      <c r="F275" t="inlineStr">
        <is>
          <t>ÖSTERGÖTLANDS LÄN</t>
        </is>
      </c>
      <c r="G275" t="inlineStr">
        <is>
          <t>ÅTVIDABERG</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4962-2026</t>
        </is>
      </c>
      <c r="B276" t="inlineStr">
        <is>
          <t>avverkningsanmälan</t>
        </is>
      </c>
      <c r="C276" t="inlineStr">
        <is>
          <t>Föryngringsavverkning</t>
        </is>
      </c>
      <c r="D276" s="1" t="n">
        <v>46049</v>
      </c>
      <c r="E276" s="1" t="n">
        <v>46216</v>
      </c>
      <c r="F276" t="inlineStr">
        <is>
          <t>ÖSTERGÖTLANDS LÄN</t>
        </is>
      </c>
      <c r="G276" t="inlineStr">
        <is>
          <t>ÅTVIDABERG</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4594-2026</t>
        </is>
      </c>
      <c r="B277" t="inlineStr">
        <is>
          <t>avverkningsanmälan</t>
        </is>
      </c>
      <c r="C277" t="inlineStr">
        <is>
          <t>Föryngringsavverkning</t>
        </is>
      </c>
      <c r="D277" s="1" t="n">
        <v>46048</v>
      </c>
      <c r="E277" s="1" t="n">
        <v>46216</v>
      </c>
      <c r="F277" t="inlineStr">
        <is>
          <t>ÖSTERGÖTLANDS LÄN</t>
        </is>
      </c>
      <c r="G277" t="inlineStr">
        <is>
          <t>ÅTVIDABERG</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5070-2026</t>
        </is>
      </c>
      <c r="B278" t="inlineStr">
        <is>
          <t>avverkningsanmälan</t>
        </is>
      </c>
      <c r="C278" t="inlineStr">
        <is>
          <t>Föryngringsavverkning</t>
        </is>
      </c>
      <c r="D278" s="1" t="n">
        <v>46049</v>
      </c>
      <c r="E278" s="1" t="n">
        <v>46216</v>
      </c>
      <c r="F278" t="inlineStr">
        <is>
          <t>ÖSTERGÖTLANDS LÄN</t>
        </is>
      </c>
      <c r="G278" t="inlineStr">
        <is>
          <t>ÅTVIDABERG</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53310-2025</t>
        </is>
      </c>
      <c r="B279" t="inlineStr">
        <is>
          <t>avverkningsanmälan</t>
        </is>
      </c>
      <c r="C279" t="inlineStr">
        <is>
          <t>Föryngringsavverkning</t>
        </is>
      </c>
      <c r="D279" s="1" t="n">
        <v>45959</v>
      </c>
      <c r="E279" s="1" t="n">
        <v>46216</v>
      </c>
      <c r="F279" t="inlineStr">
        <is>
          <t>ÖSTERGÖTLANDS LÄN</t>
        </is>
      </c>
      <c r="G279" t="inlineStr">
        <is>
          <t>ÅTVIDABERG</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4680-2026</t>
        </is>
      </c>
      <c r="B280" t="inlineStr">
        <is>
          <t>avverkningsanmälan</t>
        </is>
      </c>
      <c r="C280" t="inlineStr">
        <is>
          <t>Föryngringsavverkning</t>
        </is>
      </c>
      <c r="D280" s="1" t="n">
        <v>46048</v>
      </c>
      <c r="E280" s="1" t="n">
        <v>46216</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5536-2026</t>
        </is>
      </c>
      <c r="B281" t="inlineStr">
        <is>
          <t>avverkningsanmälan</t>
        </is>
      </c>
      <c r="C281" t="inlineStr">
        <is>
          <t>Föryngringsavverkning</t>
        </is>
      </c>
      <c r="D281" s="1" t="n">
        <v>46050</v>
      </c>
      <c r="E281" s="1" t="n">
        <v>46216</v>
      </c>
      <c r="F281" t="inlineStr">
        <is>
          <t>ÖSTERGÖTLANDS LÄN</t>
        </is>
      </c>
      <c r="G281" t="inlineStr">
        <is>
          <t>ÅTVIDABERG</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5270-2026</t>
        </is>
      </c>
      <c r="B282" t="inlineStr">
        <is>
          <t>avverkningsanmälan</t>
        </is>
      </c>
      <c r="C282" t="inlineStr">
        <is>
          <t>Föryngringsavverkning</t>
        </is>
      </c>
      <c r="D282" s="1" t="n">
        <v>46050</v>
      </c>
      <c r="E282" s="1" t="n">
        <v>46216</v>
      </c>
      <c r="F282" t="inlineStr">
        <is>
          <t>ÖSTERGÖTLANDS LÄN</t>
        </is>
      </c>
      <c r="G282" t="inlineStr">
        <is>
          <t>ÅTVIDABERG</t>
        </is>
      </c>
      <c r="I282" t="n">
        <v>2.6</v>
      </c>
      <c r="J282" t="n">
        <v>0</v>
      </c>
      <c r="K282" t="n">
        <v>0</v>
      </c>
      <c r="L282" t="n">
        <v>0</v>
      </c>
      <c r="M282" t="n">
        <v>0</v>
      </c>
      <c r="N282" t="n">
        <v>0</v>
      </c>
      <c r="O282" t="n">
        <v>0</v>
      </c>
      <c r="P282" t="n">
        <v>0</v>
      </c>
      <c r="Q282" t="n">
        <v>0</v>
      </c>
      <c r="R282" t="n">
        <v>0</v>
      </c>
      <c r="S282" t="n">
        <v>0</v>
      </c>
      <c r="T282" t="n">
        <v>0</v>
      </c>
      <c r="U282" s="2" t="inlineStr"/>
    </row>
    <row r="283" ht="15" customHeight="1">
      <c r="A283" t="inlineStr">
        <is>
          <t>A 6242-2026</t>
        </is>
      </c>
      <c r="B283" t="inlineStr">
        <is>
          <t>avverkningsanmälan</t>
        </is>
      </c>
      <c r="C283" t="inlineStr">
        <is>
          <t>Föryngringsavverkning</t>
        </is>
      </c>
      <c r="D283" s="1" t="n">
        <v>46055</v>
      </c>
      <c r="E283" s="1" t="n">
        <v>46216</v>
      </c>
      <c r="F283" t="inlineStr">
        <is>
          <t>ÖSTERGÖTLANDS LÄN</t>
        </is>
      </c>
      <c r="G283" t="inlineStr">
        <is>
          <t>ÅTVIDABERG</t>
        </is>
      </c>
      <c r="H283" t="inlineStr">
        <is>
          <t>Övriga Aktiebolag</t>
        </is>
      </c>
      <c r="I283" t="n">
        <v>16.5</v>
      </c>
      <c r="J283" t="n">
        <v>0</v>
      </c>
      <c r="K283" t="n">
        <v>0</v>
      </c>
      <c r="L283" t="n">
        <v>0</v>
      </c>
      <c r="M283" t="n">
        <v>0</v>
      </c>
      <c r="N283" t="n">
        <v>0</v>
      </c>
      <c r="O283" t="n">
        <v>0</v>
      </c>
      <c r="P283" t="n">
        <v>0</v>
      </c>
      <c r="Q283" t="n">
        <v>0</v>
      </c>
      <c r="R283" t="n">
        <v>0</v>
      </c>
      <c r="S283" t="n">
        <v>0</v>
      </c>
      <c r="T283" t="n">
        <v>0</v>
      </c>
      <c r="U283" s="2" t="inlineStr"/>
    </row>
    <row r="284" ht="15" customHeight="1">
      <c r="A284" t="inlineStr">
        <is>
          <t>A 6391-2026</t>
        </is>
      </c>
      <c r="B284" t="inlineStr">
        <is>
          <t>avverkningsanmälan</t>
        </is>
      </c>
      <c r="C284" t="inlineStr">
        <is>
          <t>Föryngringsavverkning</t>
        </is>
      </c>
      <c r="D284" s="1" t="n">
        <v>46055</v>
      </c>
      <c r="E284" s="1" t="n">
        <v>46216</v>
      </c>
      <c r="F284" t="inlineStr">
        <is>
          <t>ÖSTERGÖTLANDS LÄN</t>
        </is>
      </c>
      <c r="G284" t="inlineStr">
        <is>
          <t>ÅTVIDABERG</t>
        </is>
      </c>
      <c r="H284" t="inlineStr">
        <is>
          <t>Övriga Aktiebolag</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6343-2026</t>
        </is>
      </c>
      <c r="B285" t="inlineStr">
        <is>
          <t>avverkningsanmälan</t>
        </is>
      </c>
      <c r="C285" t="inlineStr">
        <is>
          <t>Föryngringsavverkning</t>
        </is>
      </c>
      <c r="D285" s="1" t="n">
        <v>46055</v>
      </c>
      <c r="E285" s="1" t="n">
        <v>46216</v>
      </c>
      <c r="F285" t="inlineStr">
        <is>
          <t>ÖSTERGÖTLANDS LÄN</t>
        </is>
      </c>
      <c r="G285" t="inlineStr">
        <is>
          <t>ÅTVIDABERG</t>
        </is>
      </c>
      <c r="H285" t="inlineStr">
        <is>
          <t>Övriga Aktiebolag</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7891-2025</t>
        </is>
      </c>
      <c r="B286" t="inlineStr">
        <is>
          <t>avverkningsanmälan</t>
        </is>
      </c>
      <c r="C286" t="inlineStr">
        <is>
          <t>Föryngringsavverkning</t>
        </is>
      </c>
      <c r="D286" s="1" t="n">
        <v>45707</v>
      </c>
      <c r="E286" s="1" t="n">
        <v>46216</v>
      </c>
      <c r="F286" t="inlineStr">
        <is>
          <t>ÖSTERGÖTLANDS LÄN</t>
        </is>
      </c>
      <c r="G286" t="inlineStr">
        <is>
          <t>ÅTVIDABERG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56591-2025</t>
        </is>
      </c>
      <c r="B287" t="inlineStr">
        <is>
          <t>avverkningsanmälan</t>
        </is>
      </c>
      <c r="C287" t="inlineStr">
        <is>
          <t>Föryngringsavverkning</t>
        </is>
      </c>
      <c r="D287" s="1" t="n">
        <v>45975</v>
      </c>
      <c r="E287" s="1" t="n">
        <v>46216</v>
      </c>
      <c r="F287" t="inlineStr">
        <is>
          <t>ÖSTERGÖTLANDS LÄN</t>
        </is>
      </c>
      <c r="G287" t="inlineStr">
        <is>
          <t>ÅTVIDABERG</t>
        </is>
      </c>
      <c r="H287" t="inlineStr">
        <is>
          <t>Kyrkan</t>
        </is>
      </c>
      <c r="I287" t="n">
        <v>10.1</v>
      </c>
      <c r="J287" t="n">
        <v>0</v>
      </c>
      <c r="K287" t="n">
        <v>0</v>
      </c>
      <c r="L287" t="n">
        <v>0</v>
      </c>
      <c r="M287" t="n">
        <v>0</v>
      </c>
      <c r="N287" t="n">
        <v>0</v>
      </c>
      <c r="O287" t="n">
        <v>0</v>
      </c>
      <c r="P287" t="n">
        <v>0</v>
      </c>
      <c r="Q287" t="n">
        <v>0</v>
      </c>
      <c r="R287" t="n">
        <v>0</v>
      </c>
      <c r="S287" t="n">
        <v>0</v>
      </c>
      <c r="T287" t="n">
        <v>0</v>
      </c>
      <c r="U287" s="2" t="inlineStr"/>
    </row>
    <row r="288" ht="15" customHeight="1">
      <c r="A288" t="inlineStr">
        <is>
          <t>A 10690-2023</t>
        </is>
      </c>
      <c r="B288" t="inlineStr">
        <is>
          <t>avverkningsanmälan</t>
        </is>
      </c>
      <c r="C288" t="inlineStr">
        <is>
          <t>Föryngringsavverkning</t>
        </is>
      </c>
      <c r="D288" s="1" t="n">
        <v>44988</v>
      </c>
      <c r="E288" s="1" t="n">
        <v>46216</v>
      </c>
      <c r="F288" t="inlineStr">
        <is>
          <t>ÖSTERGÖTLANDS LÄN</t>
        </is>
      </c>
      <c r="G288" t="inlineStr">
        <is>
          <t>ÅTVIDABERG</t>
        </is>
      </c>
      <c r="H288" t="inlineStr">
        <is>
          <t>Övriga Aktiebolag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6466-2026</t>
        </is>
      </c>
      <c r="B289" t="inlineStr">
        <is>
          <t>avverkningsanmälan</t>
        </is>
      </c>
      <c r="C289" t="inlineStr">
        <is>
          <t>Föryngringsavverkning</t>
        </is>
      </c>
      <c r="D289" s="1" t="n">
        <v>46056</v>
      </c>
      <c r="E289" s="1" t="n">
        <v>46216</v>
      </c>
      <c r="F289" t="inlineStr">
        <is>
          <t>ÖSTERGÖTLANDS LÄN</t>
        </is>
      </c>
      <c r="G289" t="inlineStr">
        <is>
          <t>ÅTVIDABERG</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6472-2026</t>
        </is>
      </c>
      <c r="B290" t="inlineStr">
        <is>
          <t>avverkningsanmälan</t>
        </is>
      </c>
      <c r="C290" t="inlineStr">
        <is>
          <t>Föryngringsavverkning</t>
        </is>
      </c>
      <c r="D290" s="1" t="n">
        <v>46056</v>
      </c>
      <c r="E290" s="1" t="n">
        <v>46216</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6469-2026</t>
        </is>
      </c>
      <c r="B291" t="inlineStr">
        <is>
          <t>avverkningsanmälan</t>
        </is>
      </c>
      <c r="C291" t="inlineStr">
        <is>
          <t>Föryngringsavverkning</t>
        </is>
      </c>
      <c r="D291" s="1" t="n">
        <v>46056</v>
      </c>
      <c r="E291" s="1" t="n">
        <v>46216</v>
      </c>
      <c r="F291" t="inlineStr">
        <is>
          <t>ÖSTERGÖTLANDS LÄN</t>
        </is>
      </c>
      <c r="G291" t="inlineStr">
        <is>
          <t>ÅTVIDABERG</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6004-2025</t>
        </is>
      </c>
      <c r="B292" t="inlineStr">
        <is>
          <t>avverkningsanmälan</t>
        </is>
      </c>
      <c r="C292" t="inlineStr">
        <is>
          <t>Föryngringsavverkning</t>
        </is>
      </c>
      <c r="D292" s="1" t="n">
        <v>45695</v>
      </c>
      <c r="E292" s="1" t="n">
        <v>46216</v>
      </c>
      <c r="F292" t="inlineStr">
        <is>
          <t>ÖSTERGÖTLANDS LÄN</t>
        </is>
      </c>
      <c r="G292" t="inlineStr">
        <is>
          <t>ÅTVIDABERG</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6502-2026</t>
        </is>
      </c>
      <c r="B293" t="inlineStr">
        <is>
          <t>avverkningsanmälan</t>
        </is>
      </c>
      <c r="C293" t="inlineStr">
        <is>
          <t>Föryngringsavverkning</t>
        </is>
      </c>
      <c r="D293" s="1" t="n">
        <v>46056</v>
      </c>
      <c r="E293" s="1" t="n">
        <v>46216</v>
      </c>
      <c r="F293" t="inlineStr">
        <is>
          <t>ÖSTERGÖTLANDS LÄN</t>
        </is>
      </c>
      <c r="G293" t="inlineStr">
        <is>
          <t>ÅTVIDABERG</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40292-2023</t>
        </is>
      </c>
      <c r="B294" t="inlineStr">
        <is>
          <t>avverkningsanmälan</t>
        </is>
      </c>
      <c r="C294" t="inlineStr">
        <is>
          <t>Föryngringsavverkning</t>
        </is>
      </c>
      <c r="D294" s="1" t="n">
        <v>45169</v>
      </c>
      <c r="E294" s="1" t="n">
        <v>46216</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51633-2022</t>
        </is>
      </c>
      <c r="B295" t="inlineStr">
        <is>
          <t>avverkningsanmälan</t>
        </is>
      </c>
      <c r="C295" t="inlineStr">
        <is>
          <t>Föryngringsavverkning</t>
        </is>
      </c>
      <c r="D295" s="1" t="n">
        <v>44872</v>
      </c>
      <c r="E295" s="1" t="n">
        <v>46216</v>
      </c>
      <c r="F295" t="inlineStr">
        <is>
          <t>ÖSTERGÖTLANDS LÄN</t>
        </is>
      </c>
      <c r="G295" t="inlineStr">
        <is>
          <t>ÅTVIDABERG</t>
        </is>
      </c>
      <c r="H295" t="inlineStr">
        <is>
          <t>Holmen skog AB</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1710-2026</t>
        </is>
      </c>
      <c r="B296" t="inlineStr">
        <is>
          <t>avverkningsanmälan</t>
        </is>
      </c>
      <c r="C296" t="inlineStr">
        <is>
          <t>Föryngringsavverkning</t>
        </is>
      </c>
      <c r="D296" s="1" t="n">
        <v>46034</v>
      </c>
      <c r="E296" s="1" t="n">
        <v>46216</v>
      </c>
      <c r="F296" t="inlineStr">
        <is>
          <t>ÖSTERGÖTLANDS LÄN</t>
        </is>
      </c>
      <c r="G296" t="inlineStr">
        <is>
          <t>ÅTVIDABERG</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6494-2026</t>
        </is>
      </c>
      <c r="B297" t="inlineStr">
        <is>
          <t>avverkningsanmälan</t>
        </is>
      </c>
      <c r="C297" t="inlineStr">
        <is>
          <t>Föryngringsavverkning</t>
        </is>
      </c>
      <c r="D297" s="1" t="n">
        <v>46056</v>
      </c>
      <c r="E297" s="1" t="n">
        <v>46216</v>
      </c>
      <c r="F297" t="inlineStr">
        <is>
          <t>ÖSTERGÖTLANDS LÄN</t>
        </is>
      </c>
      <c r="G297" t="inlineStr">
        <is>
          <t>ÅTVIDABERG</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6490-2026</t>
        </is>
      </c>
      <c r="B298" t="inlineStr">
        <is>
          <t>avverkningsanmälan</t>
        </is>
      </c>
      <c r="C298" t="inlineStr">
        <is>
          <t>Föryngringsavverkning</t>
        </is>
      </c>
      <c r="D298" s="1" t="n">
        <v>46056</v>
      </c>
      <c r="E298" s="1" t="n">
        <v>46216</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4260-2025</t>
        </is>
      </c>
      <c r="B299" t="inlineStr">
        <is>
          <t>avverkningsanmälan</t>
        </is>
      </c>
      <c r="C299" t="inlineStr">
        <is>
          <t>Föryngringsavverkning</t>
        </is>
      </c>
      <c r="D299" s="1" t="n">
        <v>45685</v>
      </c>
      <c r="E299" s="1" t="n">
        <v>46216</v>
      </c>
      <c r="F299" t="inlineStr">
        <is>
          <t>ÖSTERGÖTLANDS LÄN</t>
        </is>
      </c>
      <c r="G299" t="inlineStr">
        <is>
          <t>ÅTVIDABERG</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38105-2022</t>
        </is>
      </c>
      <c r="B300" t="inlineStr">
        <is>
          <t>avverkningsanmälan</t>
        </is>
      </c>
      <c r="C300" t="inlineStr">
        <is>
          <t>Föryngringsavverkning</t>
        </is>
      </c>
      <c r="D300" s="1" t="n">
        <v>44812</v>
      </c>
      <c r="E300" s="1" t="n">
        <v>46216</v>
      </c>
      <c r="F300" t="inlineStr">
        <is>
          <t>ÖSTERGÖTLANDS LÄN</t>
        </is>
      </c>
      <c r="G300" t="inlineStr">
        <is>
          <t>ÅTVIDABERG</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58064-2025</t>
        </is>
      </c>
      <c r="B301" t="inlineStr">
        <is>
          <t>avverkningsanmälan</t>
        </is>
      </c>
      <c r="C301" t="inlineStr">
        <is>
          <t>Föryngringsavverkning</t>
        </is>
      </c>
      <c r="D301" s="1" t="n">
        <v>45982</v>
      </c>
      <c r="E301" s="1" t="n">
        <v>46216</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28878-2023</t>
        </is>
      </c>
      <c r="B302" t="inlineStr">
        <is>
          <t>avverkningsanmälan</t>
        </is>
      </c>
      <c r="C302" t="inlineStr">
        <is>
          <t>Föryngringsavverkning</t>
        </is>
      </c>
      <c r="D302" s="1" t="n">
        <v>45104</v>
      </c>
      <c r="E302" s="1" t="n">
        <v>46216</v>
      </c>
      <c r="F302" t="inlineStr">
        <is>
          <t>ÖSTERGÖTLANDS LÄN</t>
        </is>
      </c>
      <c r="G302" t="inlineStr">
        <is>
          <t>ÅTVIDABERG</t>
        </is>
      </c>
      <c r="I302" t="n">
        <v>0.3</v>
      </c>
      <c r="J302" t="n">
        <v>0</v>
      </c>
      <c r="K302" t="n">
        <v>0</v>
      </c>
      <c r="L302" t="n">
        <v>0</v>
      </c>
      <c r="M302" t="n">
        <v>0</v>
      </c>
      <c r="N302" t="n">
        <v>0</v>
      </c>
      <c r="O302" t="n">
        <v>0</v>
      </c>
      <c r="P302" t="n">
        <v>0</v>
      </c>
      <c r="Q302" t="n">
        <v>0</v>
      </c>
      <c r="R302" t="n">
        <v>0</v>
      </c>
      <c r="S302" t="n">
        <v>0</v>
      </c>
      <c r="T302" t="n">
        <v>0</v>
      </c>
      <c r="U302" s="2" t="inlineStr"/>
    </row>
    <row r="303" ht="15" customHeight="1">
      <c r="A303" t="inlineStr">
        <is>
          <t>A 58062-2025</t>
        </is>
      </c>
      <c r="B303" t="inlineStr">
        <is>
          <t>avverkningsanmälan</t>
        </is>
      </c>
      <c r="C303" t="inlineStr">
        <is>
          <t>Föryngringsavverkning</t>
        </is>
      </c>
      <c r="D303" s="1" t="n">
        <v>45982</v>
      </c>
      <c r="E303" s="1" t="n">
        <v>46216</v>
      </c>
      <c r="F303" t="inlineStr">
        <is>
          <t>ÖSTERGÖTLANDS LÄN</t>
        </is>
      </c>
      <c r="G303" t="inlineStr">
        <is>
          <t>ÅTVIDABERG</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28876-2023</t>
        </is>
      </c>
      <c r="B304" t="inlineStr">
        <is>
          <t>avverkningsanmälan</t>
        </is>
      </c>
      <c r="C304" t="inlineStr">
        <is>
          <t>Föryngringsavverkning</t>
        </is>
      </c>
      <c r="D304" s="1" t="n">
        <v>45104</v>
      </c>
      <c r="E304" s="1" t="n">
        <v>46216</v>
      </c>
      <c r="F304" t="inlineStr">
        <is>
          <t>ÖSTERGÖTLANDS LÄN</t>
        </is>
      </c>
      <c r="G304" t="inlineStr">
        <is>
          <t>ÅTVIDABERG</t>
        </is>
      </c>
      <c r="I304" t="n">
        <v>0.4</v>
      </c>
      <c r="J304" t="n">
        <v>0</v>
      </c>
      <c r="K304" t="n">
        <v>0</v>
      </c>
      <c r="L304" t="n">
        <v>0</v>
      </c>
      <c r="M304" t="n">
        <v>0</v>
      </c>
      <c r="N304" t="n">
        <v>0</v>
      </c>
      <c r="O304" t="n">
        <v>0</v>
      </c>
      <c r="P304" t="n">
        <v>0</v>
      </c>
      <c r="Q304" t="n">
        <v>0</v>
      </c>
      <c r="R304" t="n">
        <v>0</v>
      </c>
      <c r="S304" t="n">
        <v>0</v>
      </c>
      <c r="T304" t="n">
        <v>0</v>
      </c>
      <c r="U304" s="2" t="inlineStr"/>
    </row>
    <row r="305" ht="15" customHeight="1">
      <c r="A305" t="inlineStr">
        <is>
          <t>A 43056-2022</t>
        </is>
      </c>
      <c r="B305" t="inlineStr">
        <is>
          <t>avverkningsanmälan</t>
        </is>
      </c>
      <c r="C305" t="inlineStr">
        <is>
          <t>Föryngringsavverkning</t>
        </is>
      </c>
      <c r="D305" s="1" t="n">
        <v>44833</v>
      </c>
      <c r="E305" s="1" t="n">
        <v>46216</v>
      </c>
      <c r="F305" t="inlineStr">
        <is>
          <t>ÖSTERGÖTLANDS LÄN</t>
        </is>
      </c>
      <c r="G305" t="inlineStr">
        <is>
          <t>ÅTVIDABERG</t>
        </is>
      </c>
      <c r="I305" t="n">
        <v>0.3</v>
      </c>
      <c r="J305" t="n">
        <v>0</v>
      </c>
      <c r="K305" t="n">
        <v>0</v>
      </c>
      <c r="L305" t="n">
        <v>0</v>
      </c>
      <c r="M305" t="n">
        <v>0</v>
      </c>
      <c r="N305" t="n">
        <v>0</v>
      </c>
      <c r="O305" t="n">
        <v>0</v>
      </c>
      <c r="P305" t="n">
        <v>0</v>
      </c>
      <c r="Q305" t="n">
        <v>0</v>
      </c>
      <c r="R305" t="n">
        <v>0</v>
      </c>
      <c r="S305" t="n">
        <v>0</v>
      </c>
      <c r="T305" t="n">
        <v>0</v>
      </c>
      <c r="U305" s="2" t="inlineStr"/>
    </row>
    <row r="306" ht="15" customHeight="1">
      <c r="A306" t="inlineStr">
        <is>
          <t>A 39837-2023</t>
        </is>
      </c>
      <c r="B306" t="inlineStr">
        <is>
          <t>avverkningsanmälan</t>
        </is>
      </c>
      <c r="C306" t="inlineStr">
        <is>
          <t>Föryngringsavverkning</t>
        </is>
      </c>
      <c r="D306" s="1" t="n">
        <v>45168</v>
      </c>
      <c r="E306" s="1" t="n">
        <v>46216</v>
      </c>
      <c r="F306" t="inlineStr">
        <is>
          <t>ÖSTERGÖTLANDS LÄN</t>
        </is>
      </c>
      <c r="G306" t="inlineStr">
        <is>
          <t>ÅTVIDABERG</t>
        </is>
      </c>
      <c r="H306" t="inlineStr">
        <is>
          <t>Kyrkan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60090-2025</t>
        </is>
      </c>
      <c r="B307" t="inlineStr">
        <is>
          <t>avverkningsanmälan</t>
        </is>
      </c>
      <c r="C307" t="inlineStr">
        <is>
          <t>Föryngringsavverkning</t>
        </is>
      </c>
      <c r="D307" s="1" t="n">
        <v>45993</v>
      </c>
      <c r="E307" s="1" t="n">
        <v>46216</v>
      </c>
      <c r="F307" t="inlineStr">
        <is>
          <t>ÖSTERGÖTLANDS LÄN</t>
        </is>
      </c>
      <c r="G307" t="inlineStr">
        <is>
          <t>ÅTVIDABERG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8806-2026</t>
        </is>
      </c>
      <c r="B308" t="inlineStr">
        <is>
          <t>avverkningsanmälan</t>
        </is>
      </c>
      <c r="C308" t="inlineStr">
        <is>
          <t>Föryngringsavverkning</t>
        </is>
      </c>
      <c r="D308" s="1" t="n">
        <v>46066</v>
      </c>
      <c r="E308" s="1" t="n">
        <v>46216</v>
      </c>
      <c r="F308" t="inlineStr">
        <is>
          <t>ÖSTERGÖTLANDS LÄN</t>
        </is>
      </c>
      <c r="G308" t="inlineStr">
        <is>
          <t>ÅTVIDABERG</t>
        </is>
      </c>
      <c r="I308" t="n">
        <v>2.9</v>
      </c>
      <c r="J308" t="n">
        <v>0</v>
      </c>
      <c r="K308" t="n">
        <v>0</v>
      </c>
      <c r="L308" t="n">
        <v>0</v>
      </c>
      <c r="M308" t="n">
        <v>0</v>
      </c>
      <c r="N308" t="n">
        <v>0</v>
      </c>
      <c r="O308" t="n">
        <v>0</v>
      </c>
      <c r="P308" t="n">
        <v>0</v>
      </c>
      <c r="Q308" t="n">
        <v>0</v>
      </c>
      <c r="R308" t="n">
        <v>0</v>
      </c>
      <c r="S308" t="n">
        <v>0</v>
      </c>
      <c r="T308" t="n">
        <v>0</v>
      </c>
      <c r="U308" s="2" t="inlineStr"/>
    </row>
    <row r="309" ht="15" customHeight="1">
      <c r="A309" t="inlineStr">
        <is>
          <t>A 15911-2023</t>
        </is>
      </c>
      <c r="B309" t="inlineStr">
        <is>
          <t>avverkningsanmälan</t>
        </is>
      </c>
      <c r="C309" t="inlineStr">
        <is>
          <t>Föryngringsavverkning</t>
        </is>
      </c>
      <c r="D309" s="1" t="n">
        <v>45022</v>
      </c>
      <c r="E309" s="1" t="n">
        <v>46216</v>
      </c>
      <c r="F309" t="inlineStr">
        <is>
          <t>ÖSTERGÖTLANDS LÄN</t>
        </is>
      </c>
      <c r="G309" t="inlineStr">
        <is>
          <t>ÅTVIDABERG</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8809-2026</t>
        </is>
      </c>
      <c r="B310" t="inlineStr">
        <is>
          <t>avverkningsanmälan</t>
        </is>
      </c>
      <c r="C310" t="inlineStr">
        <is>
          <t>Föryngringsavverkning</t>
        </is>
      </c>
      <c r="D310" s="1" t="n">
        <v>46066</v>
      </c>
      <c r="E310" s="1" t="n">
        <v>46216</v>
      </c>
      <c r="F310" t="inlineStr">
        <is>
          <t>ÖSTERGÖTLANDS LÄN</t>
        </is>
      </c>
      <c r="G310" t="inlineStr">
        <is>
          <t>ÅTVIDABERG</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9278-2026</t>
        </is>
      </c>
      <c r="B311" t="inlineStr">
        <is>
          <t>avverkningsanmälan</t>
        </is>
      </c>
      <c r="C311" t="inlineStr">
        <is>
          <t>Föryngringsavverkning</t>
        </is>
      </c>
      <c r="D311" s="1" t="n">
        <v>46070</v>
      </c>
      <c r="E311" s="1" t="n">
        <v>46216</v>
      </c>
      <c r="F311" t="inlineStr">
        <is>
          <t>ÖSTERGÖTLANDS LÄN</t>
        </is>
      </c>
      <c r="G311" t="inlineStr">
        <is>
          <t>ÅTVIDABERG</t>
        </is>
      </c>
      <c r="H311" t="inlineStr">
        <is>
          <t>Holmen skog AB</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1680-2023</t>
        </is>
      </c>
      <c r="B312" t="inlineStr">
        <is>
          <t>avverkningsanmälan</t>
        </is>
      </c>
      <c r="C312" t="inlineStr">
        <is>
          <t>Föryngringsavverkning</t>
        </is>
      </c>
      <c r="D312" s="1" t="n">
        <v>44938</v>
      </c>
      <c r="E312" s="1" t="n">
        <v>46216</v>
      </c>
      <c r="F312" t="inlineStr">
        <is>
          <t>ÖSTERGÖTLANDS LÄN</t>
        </is>
      </c>
      <c r="G312" t="inlineStr">
        <is>
          <t>ÅTVIDABERG</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34063-2022</t>
        </is>
      </c>
      <c r="B313" t="inlineStr">
        <is>
          <t>avverkningsanmälan</t>
        </is>
      </c>
      <c r="C313" t="inlineStr">
        <is>
          <t>Föryngringsavverkning</t>
        </is>
      </c>
      <c r="D313" s="1" t="n">
        <v>44791</v>
      </c>
      <c r="E313" s="1" t="n">
        <v>46216</v>
      </c>
      <c r="F313" t="inlineStr">
        <is>
          <t>ÖSTERGÖTLANDS LÄN</t>
        </is>
      </c>
      <c r="G313" t="inlineStr">
        <is>
          <t>ÅTVIDABERG</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1722-2023</t>
        </is>
      </c>
      <c r="B314" t="inlineStr">
        <is>
          <t>avverkningsanmälan</t>
        </is>
      </c>
      <c r="C314" t="inlineStr">
        <is>
          <t>Föryngringsavverkning</t>
        </is>
      </c>
      <c r="D314" s="1" t="n">
        <v>44938</v>
      </c>
      <c r="E314" s="1" t="n">
        <v>46216</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11752-2026</t>
        </is>
      </c>
      <c r="B315" t="inlineStr">
        <is>
          <t>avverkningsanmälan</t>
        </is>
      </c>
      <c r="C315" t="inlineStr">
        <is>
          <t>Föryngringsavverkning</t>
        </is>
      </c>
      <c r="D315" s="1" t="n">
        <v>46084</v>
      </c>
      <c r="E315" s="1" t="n">
        <v>46216</v>
      </c>
      <c r="F315" t="inlineStr">
        <is>
          <t>ÖSTERGÖTLANDS LÄN</t>
        </is>
      </c>
      <c r="G315" t="inlineStr">
        <is>
          <t>ÅTVIDABERG</t>
        </is>
      </c>
      <c r="H315" t="inlineStr">
        <is>
          <t>Kyrkan</t>
        </is>
      </c>
      <c r="I315" t="n">
        <v>7.3</v>
      </c>
      <c r="J315" t="n">
        <v>0</v>
      </c>
      <c r="K315" t="n">
        <v>0</v>
      </c>
      <c r="L315" t="n">
        <v>0</v>
      </c>
      <c r="M315" t="n">
        <v>0</v>
      </c>
      <c r="N315" t="n">
        <v>0</v>
      </c>
      <c r="O315" t="n">
        <v>0</v>
      </c>
      <c r="P315" t="n">
        <v>0</v>
      </c>
      <c r="Q315" t="n">
        <v>0</v>
      </c>
      <c r="R315" t="n">
        <v>0</v>
      </c>
      <c r="S315" t="n">
        <v>0</v>
      </c>
      <c r="T315" t="n">
        <v>0</v>
      </c>
      <c r="U315" s="2" t="inlineStr"/>
    </row>
    <row r="316" ht="15" customHeight="1">
      <c r="A316" t="inlineStr">
        <is>
          <t>A 11410-2026</t>
        </is>
      </c>
      <c r="B316" t="inlineStr">
        <is>
          <t>avverkningsanmälan</t>
        </is>
      </c>
      <c r="C316" t="inlineStr">
        <is>
          <t>Föryngringsavverkning</t>
        </is>
      </c>
      <c r="D316" s="1" t="n">
        <v>46083</v>
      </c>
      <c r="E316" s="1" t="n">
        <v>46216</v>
      </c>
      <c r="F316" t="inlineStr">
        <is>
          <t>ÖSTERGÖTLANDS LÄN</t>
        </is>
      </c>
      <c r="G316" t="inlineStr">
        <is>
          <t>ÅTVIDABERG</t>
        </is>
      </c>
      <c r="H316" t="inlineStr">
        <is>
          <t>Holmen skog AB</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53173-2023</t>
        </is>
      </c>
      <c r="B317" t="inlineStr">
        <is>
          <t>avverkningsanmälan</t>
        </is>
      </c>
      <c r="C317" t="inlineStr">
        <is>
          <t>Föryngringsavverkning</t>
        </is>
      </c>
      <c r="D317" s="1" t="n">
        <v>45229</v>
      </c>
      <c r="E317" s="1" t="n">
        <v>46216</v>
      </c>
      <c r="F317" t="inlineStr">
        <is>
          <t>ÖSTERGÖTLANDS LÄN</t>
        </is>
      </c>
      <c r="G317" t="inlineStr">
        <is>
          <t>ÅTVIDABERG</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10717-2023</t>
        </is>
      </c>
      <c r="B318" t="inlineStr">
        <is>
          <t>avverkningsanmälan</t>
        </is>
      </c>
      <c r="C318" t="inlineStr">
        <is>
          <t>Föryngringsavverkning</t>
        </is>
      </c>
      <c r="D318" s="1" t="n">
        <v>44988</v>
      </c>
      <c r="E318" s="1" t="n">
        <v>46216</v>
      </c>
      <c r="F318" t="inlineStr">
        <is>
          <t>ÖSTERGÖTLANDS LÄN</t>
        </is>
      </c>
      <c r="G318" t="inlineStr">
        <is>
          <t>ÅTVIDABERG</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397-2024</t>
        </is>
      </c>
      <c r="B319" t="inlineStr">
        <is>
          <t>avverkningsanmälan</t>
        </is>
      </c>
      <c r="C319" t="inlineStr">
        <is>
          <t>Föryngringsavverkning</t>
        </is>
      </c>
      <c r="D319" s="1" t="n">
        <v>45296</v>
      </c>
      <c r="E319" s="1" t="n">
        <v>46216</v>
      </c>
      <c r="F319" t="inlineStr">
        <is>
          <t>ÖSTERGÖTLANDS LÄN</t>
        </is>
      </c>
      <c r="G319" t="inlineStr">
        <is>
          <t>ÅTVIDABERG</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12825-2024</t>
        </is>
      </c>
      <c r="B320" t="inlineStr">
        <is>
          <t>avverkningsanmälan</t>
        </is>
      </c>
      <c r="C320" t="inlineStr">
        <is>
          <t>Föryngringsavverkning</t>
        </is>
      </c>
      <c r="D320" s="1" t="n">
        <v>45384</v>
      </c>
      <c r="E320" s="1" t="n">
        <v>46216</v>
      </c>
      <c r="F320" t="inlineStr">
        <is>
          <t>ÖSTERGÖTLANDS LÄN</t>
        </is>
      </c>
      <c r="G320" t="inlineStr">
        <is>
          <t>ÅTVIDABERG</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12090-2026</t>
        </is>
      </c>
      <c r="B321" t="inlineStr">
        <is>
          <t>avverkningsanmälan</t>
        </is>
      </c>
      <c r="C321" t="inlineStr">
        <is>
          <t>Föryngringsavverkning</t>
        </is>
      </c>
      <c r="D321" s="1" t="n">
        <v>46086</v>
      </c>
      <c r="E321" s="1" t="n">
        <v>46216</v>
      </c>
      <c r="F321" t="inlineStr">
        <is>
          <t>ÖSTERGÖTLANDS LÄN</t>
        </is>
      </c>
      <c r="G321" t="inlineStr">
        <is>
          <t>ÅTVIDABERG</t>
        </is>
      </c>
      <c r="H321" t="inlineStr">
        <is>
          <t>Holmen skog AB</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11865-2026</t>
        </is>
      </c>
      <c r="B322" t="inlineStr">
        <is>
          <t>avverkningsanmälan</t>
        </is>
      </c>
      <c r="C322" t="inlineStr">
        <is>
          <t>Avverkning för annat ändamål</t>
        </is>
      </c>
      <c r="D322" s="1" t="n">
        <v>46085</v>
      </c>
      <c r="E322" s="1" t="n">
        <v>46216</v>
      </c>
      <c r="F322" t="inlineStr">
        <is>
          <t>ÖSTERGÖTLANDS LÄN</t>
        </is>
      </c>
      <c r="G322" t="inlineStr">
        <is>
          <t>ÅTVIDABERG</t>
        </is>
      </c>
      <c r="I322" t="n">
        <v>14.3</v>
      </c>
      <c r="J322" t="n">
        <v>0</v>
      </c>
      <c r="K322" t="n">
        <v>0</v>
      </c>
      <c r="L322" t="n">
        <v>0</v>
      </c>
      <c r="M322" t="n">
        <v>0</v>
      </c>
      <c r="N322" t="n">
        <v>0</v>
      </c>
      <c r="O322" t="n">
        <v>0</v>
      </c>
      <c r="P322" t="n">
        <v>0</v>
      </c>
      <c r="Q322" t="n">
        <v>0</v>
      </c>
      <c r="R322" t="n">
        <v>0</v>
      </c>
      <c r="S322" t="n">
        <v>0</v>
      </c>
      <c r="T322" t="n">
        <v>0</v>
      </c>
      <c r="U322" s="2" t="inlineStr"/>
    </row>
    <row r="323" ht="15" customHeight="1">
      <c r="A323" t="inlineStr">
        <is>
          <t>A 3633-2022</t>
        </is>
      </c>
      <c r="B323" t="inlineStr">
        <is>
          <t>avverkningsanmälan</t>
        </is>
      </c>
      <c r="C323" t="inlineStr">
        <is>
          <t>Föryngringsavverkning</t>
        </is>
      </c>
      <c r="D323" s="1" t="n">
        <v>44586</v>
      </c>
      <c r="E323" s="1" t="n">
        <v>46216</v>
      </c>
      <c r="F323" t="inlineStr">
        <is>
          <t>ÖSTERGÖTLANDS LÄN</t>
        </is>
      </c>
      <c r="G323" t="inlineStr">
        <is>
          <t>ÅTVIDABERG</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41805-2023</t>
        </is>
      </c>
      <c r="B324" t="inlineStr">
        <is>
          <t>avverkningsanmälan</t>
        </is>
      </c>
      <c r="C324" t="inlineStr">
        <is>
          <t>Föryngringsavverkning</t>
        </is>
      </c>
      <c r="D324" s="1" t="n">
        <v>45176</v>
      </c>
      <c r="E324" s="1" t="n">
        <v>46216</v>
      </c>
      <c r="F324" t="inlineStr">
        <is>
          <t>ÖSTERGÖTLANDS LÄN</t>
        </is>
      </c>
      <c r="G324" t="inlineStr">
        <is>
          <t>ÅTVIDABERG</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14180-2025</t>
        </is>
      </c>
      <c r="B325" t="inlineStr">
        <is>
          <t>avverkningsanmälan</t>
        </is>
      </c>
      <c r="C325" t="inlineStr">
        <is>
          <t>Föryngringsavverkning</t>
        </is>
      </c>
      <c r="D325" s="1" t="n">
        <v>45740</v>
      </c>
      <c r="E325" s="1" t="n">
        <v>46216</v>
      </c>
      <c r="F325" t="inlineStr">
        <is>
          <t>ÖSTERGÖTLANDS LÄN</t>
        </is>
      </c>
      <c r="G325" t="inlineStr">
        <is>
          <t>ÅTVIDABERG</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17428-2024</t>
        </is>
      </c>
      <c r="B326" t="inlineStr">
        <is>
          <t>avverkningsanmälan</t>
        </is>
      </c>
      <c r="C326" t="inlineStr">
        <is>
          <t>Föryngringsavverkning</t>
        </is>
      </c>
      <c r="D326" s="1" t="n">
        <v>45415</v>
      </c>
      <c r="E326" s="1" t="n">
        <v>46216</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12597-2026</t>
        </is>
      </c>
      <c r="B327" t="inlineStr">
        <is>
          <t>avverkningsanmälan</t>
        </is>
      </c>
      <c r="C327" t="inlineStr">
        <is>
          <t>Föryngringsavverkning</t>
        </is>
      </c>
      <c r="D327" s="1" t="n">
        <v>46091</v>
      </c>
      <c r="E327" s="1" t="n">
        <v>46216</v>
      </c>
      <c r="F327" t="inlineStr">
        <is>
          <t>ÖSTERGÖTLANDS LÄN</t>
        </is>
      </c>
      <c r="G327" t="inlineStr">
        <is>
          <t>ÅTVIDABERG</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33542-2023</t>
        </is>
      </c>
      <c r="B328" t="inlineStr">
        <is>
          <t>avverkningsanmälan</t>
        </is>
      </c>
      <c r="C328" t="inlineStr">
        <is>
          <t>Föryngringsavverkning</t>
        </is>
      </c>
      <c r="D328" s="1" t="n">
        <v>45118</v>
      </c>
      <c r="E328" s="1" t="n">
        <v>46216</v>
      </c>
      <c r="F328" t="inlineStr">
        <is>
          <t>ÖSTERGÖTLANDS LÄN</t>
        </is>
      </c>
      <c r="G328" t="inlineStr">
        <is>
          <t>ÅTVIDABERG</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12816-2026</t>
        </is>
      </c>
      <c r="B329" t="inlineStr">
        <is>
          <t>avverkningsanmälan</t>
        </is>
      </c>
      <c r="C329" t="inlineStr">
        <is>
          <t>Föryngringsavverkning</t>
        </is>
      </c>
      <c r="D329" s="1" t="n">
        <v>46092</v>
      </c>
      <c r="E329" s="1" t="n">
        <v>46216</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13452-2026</t>
        </is>
      </c>
      <c r="B330" t="inlineStr">
        <is>
          <t>avverkningsanmälan</t>
        </is>
      </c>
      <c r="C330" t="inlineStr">
        <is>
          <t>Föryngringsavverkning</t>
        </is>
      </c>
      <c r="D330" s="1" t="n">
        <v>46094</v>
      </c>
      <c r="E330" s="1" t="n">
        <v>46216</v>
      </c>
      <c r="F330" t="inlineStr">
        <is>
          <t>ÖSTERGÖTLANDS LÄN</t>
        </is>
      </c>
      <c r="G330" t="inlineStr">
        <is>
          <t>ÅTVIDABERG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43872-2023</t>
        </is>
      </c>
      <c r="B331" t="inlineStr">
        <is>
          <t>avverkningsanmälan</t>
        </is>
      </c>
      <c r="C331" t="inlineStr">
        <is>
          <t>Föryngringsavverkning</t>
        </is>
      </c>
      <c r="D331" s="1" t="n">
        <v>45187</v>
      </c>
      <c r="E331" s="1" t="n">
        <v>46216</v>
      </c>
      <c r="F331" t="inlineStr">
        <is>
          <t>ÖSTERGÖTLANDS LÄN</t>
        </is>
      </c>
      <c r="G331" t="inlineStr">
        <is>
          <t>ÅTVIDABERG</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13222-2026</t>
        </is>
      </c>
      <c r="B332" t="inlineStr">
        <is>
          <t>avverkningsanmälan</t>
        </is>
      </c>
      <c r="C332" t="inlineStr">
        <is>
          <t>Föryngringsavverkning</t>
        </is>
      </c>
      <c r="D332" s="1" t="n">
        <v>46093</v>
      </c>
      <c r="E332" s="1" t="n">
        <v>46216</v>
      </c>
      <c r="F332" t="inlineStr">
        <is>
          <t>ÖSTERGÖTLANDS LÄN</t>
        </is>
      </c>
      <c r="G332" t="inlineStr">
        <is>
          <t>ÅTVIDABERG</t>
        </is>
      </c>
      <c r="I332" t="n">
        <v>3.5</v>
      </c>
      <c r="J332" t="n">
        <v>0</v>
      </c>
      <c r="K332" t="n">
        <v>0</v>
      </c>
      <c r="L332" t="n">
        <v>0</v>
      </c>
      <c r="M332" t="n">
        <v>0</v>
      </c>
      <c r="N332" t="n">
        <v>0</v>
      </c>
      <c r="O332" t="n">
        <v>0</v>
      </c>
      <c r="P332" t="n">
        <v>0</v>
      </c>
      <c r="Q332" t="n">
        <v>0</v>
      </c>
      <c r="R332" t="n">
        <v>0</v>
      </c>
      <c r="S332" t="n">
        <v>0</v>
      </c>
      <c r="T332" t="n">
        <v>0</v>
      </c>
      <c r="U332" s="2" t="inlineStr"/>
    </row>
    <row r="333" ht="15" customHeight="1">
      <c r="A333" t="inlineStr">
        <is>
          <t>A 38966-2021</t>
        </is>
      </c>
      <c r="B333" t="inlineStr">
        <is>
          <t>avverkningsanmälan</t>
        </is>
      </c>
      <c r="C333" t="inlineStr">
        <is>
          <t>Föryngringsavverkning</t>
        </is>
      </c>
      <c r="D333" s="1" t="n">
        <v>44411</v>
      </c>
      <c r="E333" s="1" t="n">
        <v>46216</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13709-2026</t>
        </is>
      </c>
      <c r="B334" t="inlineStr">
        <is>
          <t>avverkningsanmälan</t>
        </is>
      </c>
      <c r="C334" t="inlineStr">
        <is>
          <t>Avverkning för annat ändamål</t>
        </is>
      </c>
      <c r="D334" s="1" t="n">
        <v>46097</v>
      </c>
      <c r="E334" s="1" t="n">
        <v>46216</v>
      </c>
      <c r="F334" t="inlineStr">
        <is>
          <t>ÖSTERGÖTLANDS LÄN</t>
        </is>
      </c>
      <c r="G334" t="inlineStr">
        <is>
          <t>ÅTVIDABERG</t>
        </is>
      </c>
      <c r="I334" t="n">
        <v>0.2</v>
      </c>
      <c r="J334" t="n">
        <v>0</v>
      </c>
      <c r="K334" t="n">
        <v>0</v>
      </c>
      <c r="L334" t="n">
        <v>0</v>
      </c>
      <c r="M334" t="n">
        <v>0</v>
      </c>
      <c r="N334" t="n">
        <v>0</v>
      </c>
      <c r="O334" t="n">
        <v>0</v>
      </c>
      <c r="P334" t="n">
        <v>0</v>
      </c>
      <c r="Q334" t="n">
        <v>0</v>
      </c>
      <c r="R334" t="n">
        <v>0</v>
      </c>
      <c r="S334" t="n">
        <v>0</v>
      </c>
      <c r="T334" t="n">
        <v>0</v>
      </c>
      <c r="U334" s="2" t="inlineStr"/>
    </row>
    <row r="335" ht="15" customHeight="1">
      <c r="A335" t="inlineStr">
        <is>
          <t>A 17431-2024</t>
        </is>
      </c>
      <c r="B335" t="inlineStr">
        <is>
          <t>avverkningsanmälan</t>
        </is>
      </c>
      <c r="C335" t="inlineStr">
        <is>
          <t>Föryngringsavverkning</t>
        </is>
      </c>
      <c r="D335" s="1" t="n">
        <v>45415</v>
      </c>
      <c r="E335" s="1" t="n">
        <v>46216</v>
      </c>
      <c r="F335" t="inlineStr">
        <is>
          <t>ÖSTERGÖTLANDS LÄN</t>
        </is>
      </c>
      <c r="G335" t="inlineStr">
        <is>
          <t>ÅTVIDABERG</t>
        </is>
      </c>
      <c r="I335" t="n">
        <v>5.1</v>
      </c>
      <c r="J335" t="n">
        <v>0</v>
      </c>
      <c r="K335" t="n">
        <v>0</v>
      </c>
      <c r="L335" t="n">
        <v>0</v>
      </c>
      <c r="M335" t="n">
        <v>0</v>
      </c>
      <c r="N335" t="n">
        <v>0</v>
      </c>
      <c r="O335" t="n">
        <v>0</v>
      </c>
      <c r="P335" t="n">
        <v>0</v>
      </c>
      <c r="Q335" t="n">
        <v>0</v>
      </c>
      <c r="R335" t="n">
        <v>0</v>
      </c>
      <c r="S335" t="n">
        <v>0</v>
      </c>
      <c r="T335" t="n">
        <v>0</v>
      </c>
      <c r="U335" s="2" t="inlineStr"/>
    </row>
    <row r="336" ht="15" customHeight="1">
      <c r="A336" t="inlineStr">
        <is>
          <t>A 46748-2022</t>
        </is>
      </c>
      <c r="B336" t="inlineStr">
        <is>
          <t>avverkningsanmälan</t>
        </is>
      </c>
      <c r="C336" t="inlineStr">
        <is>
          <t>Föryngringsavverkning</t>
        </is>
      </c>
      <c r="D336" s="1" t="n">
        <v>44851</v>
      </c>
      <c r="E336" s="1" t="n">
        <v>46216</v>
      </c>
      <c r="F336" t="inlineStr">
        <is>
          <t>ÖSTERGÖTLANDS LÄN</t>
        </is>
      </c>
      <c r="G336" t="inlineStr">
        <is>
          <t>ÅTVIDABERG</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31929-2022</t>
        </is>
      </c>
      <c r="B337" t="inlineStr">
        <is>
          <t>avverkningsanmälan</t>
        </is>
      </c>
      <c r="C337" t="inlineStr">
        <is>
          <t>Föryngringsavverkning</t>
        </is>
      </c>
      <c r="D337" s="1" t="n">
        <v>44777</v>
      </c>
      <c r="E337" s="1" t="n">
        <v>46216</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50810-2023</t>
        </is>
      </c>
      <c r="B338" t="inlineStr">
        <is>
          <t>avverkningsanmälan</t>
        </is>
      </c>
      <c r="C338" t="inlineStr">
        <is>
          <t>Föryngringsavverkning</t>
        </is>
      </c>
      <c r="D338" s="1" t="n">
        <v>45217</v>
      </c>
      <c r="E338" s="1" t="n">
        <v>46216</v>
      </c>
      <c r="F338" t="inlineStr">
        <is>
          <t>ÖSTERGÖTLANDS LÄN</t>
        </is>
      </c>
      <c r="G338" t="inlineStr">
        <is>
          <t>ÅTVIDABERG</t>
        </is>
      </c>
      <c r="I338" t="n">
        <v>2.3</v>
      </c>
      <c r="J338" t="n">
        <v>0</v>
      </c>
      <c r="K338" t="n">
        <v>0</v>
      </c>
      <c r="L338" t="n">
        <v>0</v>
      </c>
      <c r="M338" t="n">
        <v>0</v>
      </c>
      <c r="N338" t="n">
        <v>0</v>
      </c>
      <c r="O338" t="n">
        <v>0</v>
      </c>
      <c r="P338" t="n">
        <v>0</v>
      </c>
      <c r="Q338" t="n">
        <v>0</v>
      </c>
      <c r="R338" t="n">
        <v>0</v>
      </c>
      <c r="S338" t="n">
        <v>0</v>
      </c>
      <c r="T338" t="n">
        <v>0</v>
      </c>
      <c r="U338" s="2" t="inlineStr"/>
    </row>
    <row r="339" ht="15" customHeight="1">
      <c r="A339" t="inlineStr">
        <is>
          <t>A 14124-2026</t>
        </is>
      </c>
      <c r="B339" t="inlineStr">
        <is>
          <t>avverkningsanmälan</t>
        </is>
      </c>
      <c r="C339" t="inlineStr">
        <is>
          <t>Föryngringsavverkning</t>
        </is>
      </c>
      <c r="D339" s="1" t="n">
        <v>46099</v>
      </c>
      <c r="E339" s="1" t="n">
        <v>46216</v>
      </c>
      <c r="F339" t="inlineStr">
        <is>
          <t>ÖSTERGÖTLANDS LÄN</t>
        </is>
      </c>
      <c r="G339" t="inlineStr">
        <is>
          <t>ÅTVIDABERG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377-2022</t>
        </is>
      </c>
      <c r="B340" t="inlineStr">
        <is>
          <t>avverkningsanmälan</t>
        </is>
      </c>
      <c r="C340" t="inlineStr">
        <is>
          <t>Föryngringsavverkning</t>
        </is>
      </c>
      <c r="D340" s="1" t="n">
        <v>44565</v>
      </c>
      <c r="E340" s="1" t="n">
        <v>46216</v>
      </c>
      <c r="F340" t="inlineStr">
        <is>
          <t>ÖSTERGÖTLANDS LÄN</t>
        </is>
      </c>
      <c r="G340" t="inlineStr">
        <is>
          <t>ÅTVIDABERG</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72398-2021</t>
        </is>
      </c>
      <c r="B341" t="inlineStr">
        <is>
          <t>avverkningsanmälan</t>
        </is>
      </c>
      <c r="C341" t="inlineStr">
        <is>
          <t>Föryngringsavverkning</t>
        </is>
      </c>
      <c r="D341" s="1" t="n">
        <v>44545</v>
      </c>
      <c r="E341" s="1" t="n">
        <v>46216</v>
      </c>
      <c r="F341" t="inlineStr">
        <is>
          <t>ÖSTERGÖTLANDS LÄN</t>
        </is>
      </c>
      <c r="G341" t="inlineStr">
        <is>
          <t>ÅTVIDABERG</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65828-2021</t>
        </is>
      </c>
      <c r="B342" t="inlineStr">
        <is>
          <t>avverkningsanmälan</t>
        </is>
      </c>
      <c r="C342" t="inlineStr">
        <is>
          <t>Föryngringsavverkning</t>
        </is>
      </c>
      <c r="D342" s="1" t="n">
        <v>44517</v>
      </c>
      <c r="E342" s="1" t="n">
        <v>46216</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2030-2024</t>
        </is>
      </c>
      <c r="B343" t="inlineStr">
        <is>
          <t>avverkningsanmälan</t>
        </is>
      </c>
      <c r="C343" t="inlineStr">
        <is>
          <t>Föryngringsavverkning</t>
        </is>
      </c>
      <c r="D343" s="1" t="n">
        <v>45308</v>
      </c>
      <c r="E343" s="1" t="n">
        <v>46216</v>
      </c>
      <c r="F343" t="inlineStr">
        <is>
          <t>ÖSTERGÖTLANDS LÄN</t>
        </is>
      </c>
      <c r="G343" t="inlineStr">
        <is>
          <t>ÅTVIDABERG</t>
        </is>
      </c>
      <c r="I343" t="n">
        <v>3.4</v>
      </c>
      <c r="J343" t="n">
        <v>0</v>
      </c>
      <c r="K343" t="n">
        <v>0</v>
      </c>
      <c r="L343" t="n">
        <v>0</v>
      </c>
      <c r="M343" t="n">
        <v>0</v>
      </c>
      <c r="N343" t="n">
        <v>0</v>
      </c>
      <c r="O343" t="n">
        <v>0</v>
      </c>
      <c r="P343" t="n">
        <v>0</v>
      </c>
      <c r="Q343" t="n">
        <v>0</v>
      </c>
      <c r="R343" t="n">
        <v>0</v>
      </c>
      <c r="S343" t="n">
        <v>0</v>
      </c>
      <c r="T343" t="n">
        <v>0</v>
      </c>
      <c r="U343" s="2" t="inlineStr"/>
    </row>
    <row r="344" ht="15" customHeight="1">
      <c r="A344" t="inlineStr">
        <is>
          <t>A 1710-2023</t>
        </is>
      </c>
      <c r="B344" t="inlineStr">
        <is>
          <t>avverkningsanmälan</t>
        </is>
      </c>
      <c r="C344" t="inlineStr">
        <is>
          <t>Föryngringsavverkning</t>
        </is>
      </c>
      <c r="D344" s="1" t="n">
        <v>44938</v>
      </c>
      <c r="E344" s="1" t="n">
        <v>46216</v>
      </c>
      <c r="F344" t="inlineStr">
        <is>
          <t>ÖSTERGÖTLANDS LÄN</t>
        </is>
      </c>
      <c r="G344" t="inlineStr">
        <is>
          <t>ÅTVIDABERG</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18004-2023</t>
        </is>
      </c>
      <c r="B345" t="inlineStr">
        <is>
          <t>avverkningsanmälan</t>
        </is>
      </c>
      <c r="C345" t="inlineStr">
        <is>
          <t>Föryngringsavverkning</t>
        </is>
      </c>
      <c r="D345" s="1" t="n">
        <v>45040</v>
      </c>
      <c r="E345" s="1" t="n">
        <v>46216</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40219-2021</t>
        </is>
      </c>
      <c r="B346" t="inlineStr">
        <is>
          <t>avverkningsanmälan</t>
        </is>
      </c>
      <c r="C346" t="inlineStr">
        <is>
          <t>Föryngringsavverkning</t>
        </is>
      </c>
      <c r="D346" s="1" t="n">
        <v>44419</v>
      </c>
      <c r="E346" s="1" t="n">
        <v>46216</v>
      </c>
      <c r="F346" t="inlineStr">
        <is>
          <t>ÖSTERGÖTLANDS LÄN</t>
        </is>
      </c>
      <c r="G346" t="inlineStr">
        <is>
          <t>ÅTVIDABERG</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9256-2023</t>
        </is>
      </c>
      <c r="B347" t="inlineStr">
        <is>
          <t>avverkningsanmälan</t>
        </is>
      </c>
      <c r="C347" t="inlineStr">
        <is>
          <t>Föryngringsavverkning</t>
        </is>
      </c>
      <c r="D347" s="1" t="n">
        <v>44980</v>
      </c>
      <c r="E347" s="1" t="n">
        <v>46216</v>
      </c>
      <c r="F347" t="inlineStr">
        <is>
          <t>ÖSTERGÖTLANDS LÄN</t>
        </is>
      </c>
      <c r="G347" t="inlineStr">
        <is>
          <t>ÅTVIDABERG</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29909-2023</t>
        </is>
      </c>
      <c r="B348" t="inlineStr">
        <is>
          <t>avverkningsanmälan</t>
        </is>
      </c>
      <c r="C348" t="inlineStr">
        <is>
          <t>Föryngringsavverkning</t>
        </is>
      </c>
      <c r="D348" s="1" t="n">
        <v>45107</v>
      </c>
      <c r="E348" s="1" t="n">
        <v>46216</v>
      </c>
      <c r="F348" t="inlineStr">
        <is>
          <t>ÖSTERGÖTLANDS LÄN</t>
        </is>
      </c>
      <c r="G348" t="inlineStr">
        <is>
          <t>ÅTVIDABERG</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2178-2023</t>
        </is>
      </c>
      <c r="B349" t="inlineStr">
        <is>
          <t>avverkningsanmälan</t>
        </is>
      </c>
      <c r="C349" t="inlineStr">
        <is>
          <t>Föryngringsavverkning</t>
        </is>
      </c>
      <c r="D349" s="1" t="n">
        <v>44942</v>
      </c>
      <c r="E349" s="1" t="n">
        <v>46216</v>
      </c>
      <c r="F349" t="inlineStr">
        <is>
          <t>ÖSTERGÖTLANDS LÄN</t>
        </is>
      </c>
      <c r="G349" t="inlineStr">
        <is>
          <t>ÅTVIDABERG</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21298-2024</t>
        </is>
      </c>
      <c r="B350" t="inlineStr">
        <is>
          <t>avverkningsanmälan</t>
        </is>
      </c>
      <c r="C350" t="inlineStr">
        <is>
          <t>Föryngringsavverkning</t>
        </is>
      </c>
      <c r="D350" s="1" t="n">
        <v>45440</v>
      </c>
      <c r="E350" s="1" t="n">
        <v>46216</v>
      </c>
      <c r="F350" t="inlineStr">
        <is>
          <t>ÖSTERGÖTLANDS LÄN</t>
        </is>
      </c>
      <c r="G350" t="inlineStr">
        <is>
          <t>ÅTVIDABERG</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26592-2023</t>
        </is>
      </c>
      <c r="B351" t="inlineStr">
        <is>
          <t>avverkningsanmälan</t>
        </is>
      </c>
      <c r="C351" t="inlineStr">
        <is>
          <t>Föryngringsavverkning</t>
        </is>
      </c>
      <c r="D351" s="1" t="n">
        <v>45092</v>
      </c>
      <c r="E351" s="1" t="n">
        <v>46216</v>
      </c>
      <c r="F351" t="inlineStr">
        <is>
          <t>ÖSTERGÖTLANDS LÄN</t>
        </is>
      </c>
      <c r="G351" t="inlineStr">
        <is>
          <t>ÅTVIDABERG</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17396-2026</t>
        </is>
      </c>
      <c r="B352" t="inlineStr">
        <is>
          <t>avverkningsanmälan</t>
        </is>
      </c>
      <c r="C352" t="inlineStr">
        <is>
          <t>Föryngringsavverkning</t>
        </is>
      </c>
      <c r="D352" s="1" t="n">
        <v>46119</v>
      </c>
      <c r="E352" s="1" t="n">
        <v>46216</v>
      </c>
      <c r="F352" t="inlineStr">
        <is>
          <t>ÖSTERGÖTLANDS LÄN</t>
        </is>
      </c>
      <c r="G352" t="inlineStr">
        <is>
          <t>ÅTVIDABERG</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12569-2024</t>
        </is>
      </c>
      <c r="B353" t="inlineStr">
        <is>
          <t>avverkningsanmälan</t>
        </is>
      </c>
      <c r="C353" t="inlineStr">
        <is>
          <t>Avverkning för annat ändamål</t>
        </is>
      </c>
      <c r="D353" s="1" t="n">
        <v>45379</v>
      </c>
      <c r="E353" s="1" t="n">
        <v>46216</v>
      </c>
      <c r="F353" t="inlineStr">
        <is>
          <t>ÖSTERGÖTLANDS LÄN</t>
        </is>
      </c>
      <c r="G353" t="inlineStr">
        <is>
          <t>ÅTVIDABERG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15538-2025</t>
        </is>
      </c>
      <c r="B354" t="inlineStr">
        <is>
          <t>avverkningsanmälan</t>
        </is>
      </c>
      <c r="C354" t="inlineStr">
        <is>
          <t>Avverkning för att bevara och utveckla /försöksver</t>
        </is>
      </c>
      <c r="D354" s="1" t="n">
        <v>45747</v>
      </c>
      <c r="E354" s="1" t="n">
        <v>46216</v>
      </c>
      <c r="F354" t="inlineStr">
        <is>
          <t>ÖSTERGÖTLANDS LÄN</t>
        </is>
      </c>
      <c r="G354" t="inlineStr">
        <is>
          <t>ÅTVIDABERG</t>
        </is>
      </c>
      <c r="H354" t="inlineStr">
        <is>
          <t>Sveaskog</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2944-2024</t>
        </is>
      </c>
      <c r="B355" t="inlineStr">
        <is>
          <t>avverkningsanmälan</t>
        </is>
      </c>
      <c r="C355" t="inlineStr">
        <is>
          <t>Föryngringsavverkning</t>
        </is>
      </c>
      <c r="D355" s="1" t="n">
        <v>45315</v>
      </c>
      <c r="E355" s="1" t="n">
        <v>46216</v>
      </c>
      <c r="F355" t="inlineStr">
        <is>
          <t>ÖSTERGÖTLANDS LÄN</t>
        </is>
      </c>
      <c r="G355" t="inlineStr">
        <is>
          <t>ÅTVIDABERG</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18241-2026</t>
        </is>
      </c>
      <c r="B356" t="inlineStr">
        <is>
          <t>avverkningsanmälan</t>
        </is>
      </c>
      <c r="C356" t="inlineStr">
        <is>
          <t>Föryngringsavverkning</t>
        </is>
      </c>
      <c r="D356" s="1" t="n">
        <v>46126</v>
      </c>
      <c r="E356" s="1" t="n">
        <v>46216</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72696-2021</t>
        </is>
      </c>
      <c r="B357" t="inlineStr">
        <is>
          <t>avverkningsanmälan</t>
        </is>
      </c>
      <c r="C357" t="inlineStr">
        <is>
          <t>Föryngringsavverkning</t>
        </is>
      </c>
      <c r="D357" s="1" t="n">
        <v>44546</v>
      </c>
      <c r="E357" s="1" t="n">
        <v>46216</v>
      </c>
      <c r="F357" t="inlineStr">
        <is>
          <t>ÖSTERGÖTLANDS LÄN</t>
        </is>
      </c>
      <c r="G357" t="inlineStr">
        <is>
          <t>ÅTVIDABERG</t>
        </is>
      </c>
      <c r="H357" t="inlineStr">
        <is>
          <t>Holmen skog AB</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58172-2023</t>
        </is>
      </c>
      <c r="B358" t="inlineStr">
        <is>
          <t>avverkningsanmälan</t>
        </is>
      </c>
      <c r="C358" t="inlineStr">
        <is>
          <t>Föryngringsavverkning</t>
        </is>
      </c>
      <c r="D358" s="1" t="n">
        <v>45250</v>
      </c>
      <c r="E358" s="1" t="n">
        <v>46216</v>
      </c>
      <c r="F358" t="inlineStr">
        <is>
          <t>ÖSTERGÖTLANDS LÄN</t>
        </is>
      </c>
      <c r="G358" t="inlineStr">
        <is>
          <t>ÅTVIDABERG</t>
        </is>
      </c>
      <c r="H358" t="inlineStr">
        <is>
          <t>Sveaskog</t>
        </is>
      </c>
      <c r="I358" t="n">
        <v>4.2</v>
      </c>
      <c r="J358" t="n">
        <v>0</v>
      </c>
      <c r="K358" t="n">
        <v>0</v>
      </c>
      <c r="L358" t="n">
        <v>0</v>
      </c>
      <c r="M358" t="n">
        <v>0</v>
      </c>
      <c r="N358" t="n">
        <v>0</v>
      </c>
      <c r="O358" t="n">
        <v>0</v>
      </c>
      <c r="P358" t="n">
        <v>0</v>
      </c>
      <c r="Q358" t="n">
        <v>0</v>
      </c>
      <c r="R358" t="n">
        <v>0</v>
      </c>
      <c r="S358" t="n">
        <v>0</v>
      </c>
      <c r="T358" t="n">
        <v>0</v>
      </c>
      <c r="U358" s="2" t="inlineStr"/>
    </row>
    <row r="359" ht="15" customHeight="1">
      <c r="A359" t="inlineStr">
        <is>
          <t>A 2031-2024</t>
        </is>
      </c>
      <c r="B359" t="inlineStr">
        <is>
          <t>avverkningsanmälan</t>
        </is>
      </c>
      <c r="C359" t="inlineStr">
        <is>
          <t>Föryngringsavverkning</t>
        </is>
      </c>
      <c r="D359" s="1" t="n">
        <v>45308</v>
      </c>
      <c r="E359" s="1" t="n">
        <v>46216</v>
      </c>
      <c r="F359" t="inlineStr">
        <is>
          <t>ÖSTERGÖTLANDS LÄN</t>
        </is>
      </c>
      <c r="G359" t="inlineStr">
        <is>
          <t>ÅTVIDABERG</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40160-2024</t>
        </is>
      </c>
      <c r="B360" t="inlineStr">
        <is>
          <t>avverkningsanmälan</t>
        </is>
      </c>
      <c r="C360" t="inlineStr">
        <is>
          <t>Föryngringsavverkning</t>
        </is>
      </c>
      <c r="D360" s="1" t="n">
        <v>45554</v>
      </c>
      <c r="E360" s="1" t="n">
        <v>46216</v>
      </c>
      <c r="F360" t="inlineStr">
        <is>
          <t>ÖSTERGÖTLANDS LÄN</t>
        </is>
      </c>
      <c r="G360" t="inlineStr">
        <is>
          <t>ÅTVIDABERG</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62136-2023</t>
        </is>
      </c>
      <c r="B361" t="inlineStr">
        <is>
          <t>avverkningsanmälan</t>
        </is>
      </c>
      <c r="C361" t="inlineStr">
        <is>
          <t>Föryngringsavverkning</t>
        </is>
      </c>
      <c r="D361" s="1" t="n">
        <v>45267</v>
      </c>
      <c r="E361" s="1" t="n">
        <v>46216</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23530-2022</t>
        </is>
      </c>
      <c r="B362" t="inlineStr">
        <is>
          <t>avverkningsanmälan</t>
        </is>
      </c>
      <c r="C362" t="inlineStr">
        <is>
          <t>Föryngringsavverkning</t>
        </is>
      </c>
      <c r="D362" s="1" t="n">
        <v>44721</v>
      </c>
      <c r="E362" s="1" t="n">
        <v>46216</v>
      </c>
      <c r="F362" t="inlineStr">
        <is>
          <t>ÖSTERGÖTLANDS LÄN</t>
        </is>
      </c>
      <c r="G362" t="inlineStr">
        <is>
          <t>ÅTVIDABERG</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11882-2023</t>
        </is>
      </c>
      <c r="B363" t="inlineStr">
        <is>
          <t>avverkningsanmälan</t>
        </is>
      </c>
      <c r="C363" t="inlineStr">
        <is>
          <t>Föryngringsavverkning</t>
        </is>
      </c>
      <c r="D363" s="1" t="n">
        <v>44995</v>
      </c>
      <c r="E363" s="1" t="n">
        <v>46216</v>
      </c>
      <c r="F363" t="inlineStr">
        <is>
          <t>ÖSTERGÖTLANDS LÄN</t>
        </is>
      </c>
      <c r="G363" t="inlineStr">
        <is>
          <t>ÅTVIDABERG</t>
        </is>
      </c>
      <c r="H363" t="inlineStr">
        <is>
          <t>Övriga Aktiebolag</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38805-2021</t>
        </is>
      </c>
      <c r="B364" t="inlineStr">
        <is>
          <t>avverkningsanmälan</t>
        </is>
      </c>
      <c r="C364" t="inlineStr">
        <is>
          <t>Föryngringsavverkning</t>
        </is>
      </c>
      <c r="D364" s="1" t="n">
        <v>44410</v>
      </c>
      <c r="E364" s="1" t="n">
        <v>46216</v>
      </c>
      <c r="F364" t="inlineStr">
        <is>
          <t>ÖSTERGÖTLANDS LÄN</t>
        </is>
      </c>
      <c r="G364" t="inlineStr">
        <is>
          <t>ÅTVIDABERG</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23517-2022</t>
        </is>
      </c>
      <c r="B365" t="inlineStr">
        <is>
          <t>avverkningsanmälan</t>
        </is>
      </c>
      <c r="C365" t="inlineStr">
        <is>
          <t>Föryngringsavverkning</t>
        </is>
      </c>
      <c r="D365" s="1" t="n">
        <v>44721</v>
      </c>
      <c r="E365" s="1" t="n">
        <v>46216</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48580-2023</t>
        </is>
      </c>
      <c r="B366" t="inlineStr">
        <is>
          <t>avverkningsanmälan</t>
        </is>
      </c>
      <c r="C366" t="inlineStr">
        <is>
          <t>Föryngringsavverkning</t>
        </is>
      </c>
      <c r="D366" s="1" t="n">
        <v>45208</v>
      </c>
      <c r="E366" s="1" t="n">
        <v>46216</v>
      </c>
      <c r="F366" t="inlineStr">
        <is>
          <t>ÖSTERGÖTLANDS LÄN</t>
        </is>
      </c>
      <c r="G366" t="inlineStr">
        <is>
          <t>ÅTVIDABERG</t>
        </is>
      </c>
      <c r="H366" t="inlineStr">
        <is>
          <t>Kyrkan</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6226-2023</t>
        </is>
      </c>
      <c r="B367" t="inlineStr">
        <is>
          <t>avverkningsanmälan</t>
        </is>
      </c>
      <c r="C367" t="inlineStr">
        <is>
          <t>Föryngringsavverkning</t>
        </is>
      </c>
      <c r="D367" s="1" t="n">
        <v>44964</v>
      </c>
      <c r="E367" s="1" t="n">
        <v>46216</v>
      </c>
      <c r="F367" t="inlineStr">
        <is>
          <t>ÖSTERGÖTLANDS LÄN</t>
        </is>
      </c>
      <c r="G367" t="inlineStr">
        <is>
          <t>ÅTVIDABERG</t>
        </is>
      </c>
      <c r="I367" t="n">
        <v>4.9</v>
      </c>
      <c r="J367" t="n">
        <v>0</v>
      </c>
      <c r="K367" t="n">
        <v>0</v>
      </c>
      <c r="L367" t="n">
        <v>0</v>
      </c>
      <c r="M367" t="n">
        <v>0</v>
      </c>
      <c r="N367" t="n">
        <v>0</v>
      </c>
      <c r="O367" t="n">
        <v>0</v>
      </c>
      <c r="P367" t="n">
        <v>0</v>
      </c>
      <c r="Q367" t="n">
        <v>0</v>
      </c>
      <c r="R367" t="n">
        <v>0</v>
      </c>
      <c r="S367" t="n">
        <v>0</v>
      </c>
      <c r="T367" t="n">
        <v>0</v>
      </c>
      <c r="U367" s="2" t="inlineStr"/>
    </row>
    <row r="368" ht="15" customHeight="1">
      <c r="A368" t="inlineStr">
        <is>
          <t>A 24298-2024</t>
        </is>
      </c>
      <c r="B368" t="inlineStr">
        <is>
          <t>avverkningsanmälan</t>
        </is>
      </c>
      <c r="C368" t="inlineStr">
        <is>
          <t>Avverkning för annat ändamål</t>
        </is>
      </c>
      <c r="D368" s="1" t="n">
        <v>45457</v>
      </c>
      <c r="E368" s="1" t="n">
        <v>46216</v>
      </c>
      <c r="F368" t="inlineStr">
        <is>
          <t>ÖSTERGÖTLANDS LÄN</t>
        </is>
      </c>
      <c r="G368" t="inlineStr">
        <is>
          <t>ÅTVIDABERG</t>
        </is>
      </c>
      <c r="H368" t="inlineStr">
        <is>
          <t>Sveaskog</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21276-2024</t>
        </is>
      </c>
      <c r="B369" t="inlineStr">
        <is>
          <t>avverkningsanmälan</t>
        </is>
      </c>
      <c r="C369" t="inlineStr">
        <is>
          <t>Föryngringsavverkning</t>
        </is>
      </c>
      <c r="D369" s="1" t="n">
        <v>45440</v>
      </c>
      <c r="E369" s="1" t="n">
        <v>46216</v>
      </c>
      <c r="F369" t="inlineStr">
        <is>
          <t>ÖSTERGÖTLANDS LÄN</t>
        </is>
      </c>
      <c r="G369" t="inlineStr">
        <is>
          <t>ÅTVIDABERG</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43058-2022</t>
        </is>
      </c>
      <c r="B370" t="inlineStr">
        <is>
          <t>avverkningsanmälan</t>
        </is>
      </c>
      <c r="C370" t="inlineStr">
        <is>
          <t>Föryngringsavverkning</t>
        </is>
      </c>
      <c r="D370" s="1" t="n">
        <v>44833</v>
      </c>
      <c r="E370" s="1" t="n">
        <v>46216</v>
      </c>
      <c r="F370" t="inlineStr">
        <is>
          <t>ÖSTERGÖTLANDS LÄN</t>
        </is>
      </c>
      <c r="G370" t="inlineStr">
        <is>
          <t>ÅTVIDABERG</t>
        </is>
      </c>
      <c r="I370" t="n">
        <v>0.2</v>
      </c>
      <c r="J370" t="n">
        <v>0</v>
      </c>
      <c r="K370" t="n">
        <v>0</v>
      </c>
      <c r="L370" t="n">
        <v>0</v>
      </c>
      <c r="M370" t="n">
        <v>0</v>
      </c>
      <c r="N370" t="n">
        <v>0</v>
      </c>
      <c r="O370" t="n">
        <v>0</v>
      </c>
      <c r="P370" t="n">
        <v>0</v>
      </c>
      <c r="Q370" t="n">
        <v>0</v>
      </c>
      <c r="R370" t="n">
        <v>0</v>
      </c>
      <c r="S370" t="n">
        <v>0</v>
      </c>
      <c r="T370" t="n">
        <v>0</v>
      </c>
      <c r="U370" s="2" t="inlineStr"/>
    </row>
    <row r="371" ht="15" customHeight="1">
      <c r="A371" t="inlineStr">
        <is>
          <t>A 26373-2022</t>
        </is>
      </c>
      <c r="B371" t="inlineStr">
        <is>
          <t>avverkningsanmälan</t>
        </is>
      </c>
      <c r="C371" t="inlineStr">
        <is>
          <t>Föryngringsavverkning</t>
        </is>
      </c>
      <c r="D371" s="1" t="n">
        <v>44735</v>
      </c>
      <c r="E371" s="1" t="n">
        <v>46216</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43899-2024</t>
        </is>
      </c>
      <c r="B372" t="inlineStr">
        <is>
          <t>avverkningsanmälan</t>
        </is>
      </c>
      <c r="C372" t="inlineStr">
        <is>
          <t>Föryngringsavverkning</t>
        </is>
      </c>
      <c r="D372" s="1" t="n">
        <v>45572</v>
      </c>
      <c r="E372" s="1" t="n">
        <v>46216</v>
      </c>
      <c r="F372" t="inlineStr">
        <is>
          <t>ÖSTERGÖTLANDS LÄN</t>
        </is>
      </c>
      <c r="G372" t="inlineStr">
        <is>
          <t>ÅTVIDABERG</t>
        </is>
      </c>
      <c r="I372" t="n">
        <v>9.6</v>
      </c>
      <c r="J372" t="n">
        <v>0</v>
      </c>
      <c r="K372" t="n">
        <v>0</v>
      </c>
      <c r="L372" t="n">
        <v>0</v>
      </c>
      <c r="M372" t="n">
        <v>0</v>
      </c>
      <c r="N372" t="n">
        <v>0</v>
      </c>
      <c r="O372" t="n">
        <v>0</v>
      </c>
      <c r="P372" t="n">
        <v>0</v>
      </c>
      <c r="Q372" t="n">
        <v>0</v>
      </c>
      <c r="R372" t="n">
        <v>0</v>
      </c>
      <c r="S372" t="n">
        <v>0</v>
      </c>
      <c r="T372" t="n">
        <v>0</v>
      </c>
      <c r="U372" s="2" t="inlineStr"/>
    </row>
    <row r="373" ht="15" customHeight="1">
      <c r="A373" t="inlineStr">
        <is>
          <t>A 30361-2025</t>
        </is>
      </c>
      <c r="B373" t="inlineStr">
        <is>
          <t>avverkningsanmälan</t>
        </is>
      </c>
      <c r="C373" t="inlineStr">
        <is>
          <t>Föryngringsavverkning</t>
        </is>
      </c>
      <c r="D373" s="1" t="n">
        <v>45827</v>
      </c>
      <c r="E373" s="1" t="n">
        <v>46216</v>
      </c>
      <c r="F373" t="inlineStr">
        <is>
          <t>ÖSTERGÖTLANDS LÄN</t>
        </is>
      </c>
      <c r="G373" t="inlineStr">
        <is>
          <t>ÅTVIDABERG</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24163-2025</t>
        </is>
      </c>
      <c r="B374" t="inlineStr">
        <is>
          <t>avverkningsanmälan</t>
        </is>
      </c>
      <c r="C374" t="inlineStr">
        <is>
          <t>Föryngringsavverkning</t>
        </is>
      </c>
      <c r="D374" s="1" t="n">
        <v>45796</v>
      </c>
      <c r="E374" s="1" t="n">
        <v>46216</v>
      </c>
      <c r="F374" t="inlineStr">
        <is>
          <t>ÖSTERGÖTLANDS LÄN</t>
        </is>
      </c>
      <c r="G374" t="inlineStr">
        <is>
          <t>ÅTVIDABERG</t>
        </is>
      </c>
      <c r="I374" t="n">
        <v>2.5</v>
      </c>
      <c r="J374" t="n">
        <v>0</v>
      </c>
      <c r="K374" t="n">
        <v>0</v>
      </c>
      <c r="L374" t="n">
        <v>0</v>
      </c>
      <c r="M374" t="n">
        <v>0</v>
      </c>
      <c r="N374" t="n">
        <v>0</v>
      </c>
      <c r="O374" t="n">
        <v>0</v>
      </c>
      <c r="P374" t="n">
        <v>0</v>
      </c>
      <c r="Q374" t="n">
        <v>0</v>
      </c>
      <c r="R374" t="n">
        <v>0</v>
      </c>
      <c r="S374" t="n">
        <v>0</v>
      </c>
      <c r="T374" t="n">
        <v>0</v>
      </c>
      <c r="U374" s="2" t="inlineStr"/>
    </row>
    <row r="375" ht="15" customHeight="1">
      <c r="A375" t="inlineStr">
        <is>
          <t>A 21842-2025</t>
        </is>
      </c>
      <c r="B375" t="inlineStr">
        <is>
          <t>avverkningsanmälan</t>
        </is>
      </c>
      <c r="C375" t="inlineStr">
        <is>
          <t>Föryngringsavverkning</t>
        </is>
      </c>
      <c r="D375" s="1" t="n">
        <v>45784</v>
      </c>
      <c r="E375" s="1" t="n">
        <v>46216</v>
      </c>
      <c r="F375" t="inlineStr">
        <is>
          <t>ÖSTERGÖTLANDS LÄN</t>
        </is>
      </c>
      <c r="G375" t="inlineStr">
        <is>
          <t>ÅTVIDABERG</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25784-2026</t>
        </is>
      </c>
      <c r="B376" t="inlineStr">
        <is>
          <t>avverkningsanmälan</t>
        </is>
      </c>
      <c r="C376" t="inlineStr">
        <is>
          <t>Föryngringsavverkning</t>
        </is>
      </c>
      <c r="D376" s="1" t="n">
        <v>46178</v>
      </c>
      <c r="E376" s="1" t="n">
        <v>46216</v>
      </c>
      <c r="F376" t="inlineStr">
        <is>
          <t>ÖSTERGÖTLANDS LÄN</t>
        </is>
      </c>
      <c r="G376" t="inlineStr">
        <is>
          <t>ÅTVIDABERG</t>
        </is>
      </c>
      <c r="I376" t="n">
        <v>2</v>
      </c>
      <c r="J376" t="n">
        <v>0</v>
      </c>
      <c r="K376" t="n">
        <v>0</v>
      </c>
      <c r="L376" t="n">
        <v>0</v>
      </c>
      <c r="M376" t="n">
        <v>0</v>
      </c>
      <c r="N376" t="n">
        <v>0</v>
      </c>
      <c r="O376" t="n">
        <v>0</v>
      </c>
      <c r="P376" t="n">
        <v>0</v>
      </c>
      <c r="Q376" t="n">
        <v>0</v>
      </c>
      <c r="R376" t="n">
        <v>0</v>
      </c>
      <c r="S376" t="n">
        <v>0</v>
      </c>
      <c r="T376" t="n">
        <v>0</v>
      </c>
      <c r="U376" s="2" t="inlineStr"/>
    </row>
    <row r="377" ht="15" customHeight="1">
      <c r="A377" t="inlineStr">
        <is>
          <t>A 27170-2022</t>
        </is>
      </c>
      <c r="B377" t="inlineStr">
        <is>
          <t>avverkningsanmälan</t>
        </is>
      </c>
      <c r="C377" t="inlineStr">
        <is>
          <t>Föryngringsavverkning</t>
        </is>
      </c>
      <c r="D377" s="1" t="n">
        <v>44741</v>
      </c>
      <c r="E377" s="1" t="n">
        <v>46216</v>
      </c>
      <c r="F377" t="inlineStr">
        <is>
          <t>ÖSTERGÖTLANDS LÄN</t>
        </is>
      </c>
      <c r="G377" t="inlineStr">
        <is>
          <t>ÅTVIDABERG</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45960-2025</t>
        </is>
      </c>
      <c r="B378" t="inlineStr">
        <is>
          <t>avverkningsanmälan</t>
        </is>
      </c>
      <c r="C378" t="inlineStr">
        <is>
          <t>Föryngringsavverkning</t>
        </is>
      </c>
      <c r="D378" s="1" t="n">
        <v>45924</v>
      </c>
      <c r="E378" s="1" t="n">
        <v>46216</v>
      </c>
      <c r="F378" t="inlineStr">
        <is>
          <t>ÖSTERGÖTLANDS LÄN</t>
        </is>
      </c>
      <c r="G378" t="inlineStr">
        <is>
          <t>ÅTVIDABERG</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25788-2026</t>
        </is>
      </c>
      <c r="B379" t="inlineStr">
        <is>
          <t>avverkningsanmälan</t>
        </is>
      </c>
      <c r="C379" t="inlineStr">
        <is>
          <t>Föryngringsavverkning</t>
        </is>
      </c>
      <c r="D379" s="1" t="n">
        <v>46178</v>
      </c>
      <c r="E379" s="1" t="n">
        <v>46216</v>
      </c>
      <c r="F379" t="inlineStr">
        <is>
          <t>ÖSTERGÖTLANDS LÄN</t>
        </is>
      </c>
      <c r="G379" t="inlineStr">
        <is>
          <t>ÅTVIDABERG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17765-2025</t>
        </is>
      </c>
      <c r="B380" t="inlineStr">
        <is>
          <t>avverkningsanmälan</t>
        </is>
      </c>
      <c r="C380" t="inlineStr">
        <is>
          <t>Föryngringsavverkning</t>
        </is>
      </c>
      <c r="D380" s="1" t="n">
        <v>45758</v>
      </c>
      <c r="E380" s="1" t="n">
        <v>46216</v>
      </c>
      <c r="F380" t="inlineStr">
        <is>
          <t>ÖSTERGÖTLANDS LÄN</t>
        </is>
      </c>
      <c r="G380" t="inlineStr">
        <is>
          <t>ÅTVIDABERG</t>
        </is>
      </c>
      <c r="I380" t="n">
        <v>11.7</v>
      </c>
      <c r="J380" t="n">
        <v>0</v>
      </c>
      <c r="K380" t="n">
        <v>0</v>
      </c>
      <c r="L380" t="n">
        <v>0</v>
      </c>
      <c r="M380" t="n">
        <v>0</v>
      </c>
      <c r="N380" t="n">
        <v>0</v>
      </c>
      <c r="O380" t="n">
        <v>0</v>
      </c>
      <c r="P380" t="n">
        <v>0</v>
      </c>
      <c r="Q380" t="n">
        <v>0</v>
      </c>
      <c r="R380" t="n">
        <v>0</v>
      </c>
      <c r="S380" t="n">
        <v>0</v>
      </c>
      <c r="T380" t="n">
        <v>0</v>
      </c>
      <c r="U380" s="2" t="inlineStr"/>
    </row>
    <row r="381" ht="15" customHeight="1">
      <c r="A381" t="inlineStr">
        <is>
          <t>A 25793-2026</t>
        </is>
      </c>
      <c r="B381" t="inlineStr">
        <is>
          <t>avverkningsanmälan</t>
        </is>
      </c>
      <c r="C381" t="inlineStr">
        <is>
          <t>Föryngringsavverkning</t>
        </is>
      </c>
      <c r="D381" s="1" t="n">
        <v>46178</v>
      </c>
      <c r="E381" s="1" t="n">
        <v>46216</v>
      </c>
      <c r="F381" t="inlineStr">
        <is>
          <t>ÖSTERGÖTLANDS LÄN</t>
        </is>
      </c>
      <c r="G381" t="inlineStr">
        <is>
          <t>ÅTVIDABERG</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53992-2022</t>
        </is>
      </c>
      <c r="B382" t="inlineStr">
        <is>
          <t>avverkningsanmälan</t>
        </is>
      </c>
      <c r="C382" t="inlineStr">
        <is>
          <t>Föryngringsavverkning</t>
        </is>
      </c>
      <c r="D382" s="1" t="n">
        <v>44881</v>
      </c>
      <c r="E382" s="1" t="n">
        <v>46216</v>
      </c>
      <c r="F382" t="inlineStr">
        <is>
          <t>ÖSTERGÖTLANDS LÄN</t>
        </is>
      </c>
      <c r="G382" t="inlineStr">
        <is>
          <t>ÅTVIDABERG</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743-2023</t>
        </is>
      </c>
      <c r="B383" t="inlineStr">
        <is>
          <t>avverkningsanmälan</t>
        </is>
      </c>
      <c r="C383" t="inlineStr">
        <is>
          <t>Föryngringsavverkning</t>
        </is>
      </c>
      <c r="D383" s="1" t="n">
        <v>44931</v>
      </c>
      <c r="E383" s="1" t="n">
        <v>46216</v>
      </c>
      <c r="F383" t="inlineStr">
        <is>
          <t>ÖSTERGÖTLANDS LÄN</t>
        </is>
      </c>
      <c r="G383" t="inlineStr">
        <is>
          <t>ÅTVIDABERG</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796-2025</t>
        </is>
      </c>
      <c r="B384" t="inlineStr">
        <is>
          <t>avverkningsanmälan</t>
        </is>
      </c>
      <c r="C384" t="inlineStr">
        <is>
          <t>Föryngringsavverkning</t>
        </is>
      </c>
      <c r="D384" s="1" t="n">
        <v>45665</v>
      </c>
      <c r="E384" s="1" t="n">
        <v>46216</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36320-2021</t>
        </is>
      </c>
      <c r="B385" t="inlineStr">
        <is>
          <t>avverkningsanmälan</t>
        </is>
      </c>
      <c r="C385" t="inlineStr">
        <is>
          <t>Föryngringsavverkning</t>
        </is>
      </c>
      <c r="D385" s="1" t="n">
        <v>44390</v>
      </c>
      <c r="E385" s="1" t="n">
        <v>46216</v>
      </c>
      <c r="F385" t="inlineStr">
        <is>
          <t>ÖSTERGÖTLANDS LÄN</t>
        </is>
      </c>
      <c r="G385" t="inlineStr">
        <is>
          <t>ÅTVIDABERG</t>
        </is>
      </c>
      <c r="I385" t="n">
        <v>0.3</v>
      </c>
      <c r="J385" t="n">
        <v>0</v>
      </c>
      <c r="K385" t="n">
        <v>0</v>
      </c>
      <c r="L385" t="n">
        <v>0</v>
      </c>
      <c r="M385" t="n">
        <v>0</v>
      </c>
      <c r="N385" t="n">
        <v>0</v>
      </c>
      <c r="O385" t="n">
        <v>0</v>
      </c>
      <c r="P385" t="n">
        <v>0</v>
      </c>
      <c r="Q385" t="n">
        <v>0</v>
      </c>
      <c r="R385" t="n">
        <v>0</v>
      </c>
      <c r="S385" t="n">
        <v>0</v>
      </c>
      <c r="T385" t="n">
        <v>0</v>
      </c>
      <c r="U385" s="2" t="inlineStr"/>
    </row>
    <row r="386" ht="15" customHeight="1">
      <c r="A386" t="inlineStr">
        <is>
          <t>A 11592-2025</t>
        </is>
      </c>
      <c r="B386" t="inlineStr">
        <is>
          <t>avverkningsanmälan</t>
        </is>
      </c>
      <c r="C386" t="inlineStr">
        <is>
          <t>Föryngringsavverkning</t>
        </is>
      </c>
      <c r="D386" s="1" t="n">
        <v>45727</v>
      </c>
      <c r="E386" s="1" t="n">
        <v>46216</v>
      </c>
      <c r="F386" t="inlineStr">
        <is>
          <t>ÖSTERGÖTLANDS LÄN</t>
        </is>
      </c>
      <c r="G386" t="inlineStr">
        <is>
          <t>ÅTVIDABERG</t>
        </is>
      </c>
      <c r="I386" t="n">
        <v>2.2</v>
      </c>
      <c r="J386" t="n">
        <v>0</v>
      </c>
      <c r="K386" t="n">
        <v>0</v>
      </c>
      <c r="L386" t="n">
        <v>0</v>
      </c>
      <c r="M386" t="n">
        <v>0</v>
      </c>
      <c r="N386" t="n">
        <v>0</v>
      </c>
      <c r="O386" t="n">
        <v>0</v>
      </c>
      <c r="P386" t="n">
        <v>0</v>
      </c>
      <c r="Q386" t="n">
        <v>0</v>
      </c>
      <c r="R386" t="n">
        <v>0</v>
      </c>
      <c r="S386" t="n">
        <v>0</v>
      </c>
      <c r="T386" t="n">
        <v>0</v>
      </c>
      <c r="U386" s="2" t="inlineStr"/>
    </row>
    <row r="387" ht="15" customHeight="1">
      <c r="A387" t="inlineStr">
        <is>
          <t>A 37728-2021</t>
        </is>
      </c>
      <c r="B387" t="inlineStr">
        <is>
          <t>avverkningsanmälan</t>
        </is>
      </c>
      <c r="C387" t="inlineStr">
        <is>
          <t>Föryngringsavverkning</t>
        </is>
      </c>
      <c r="D387" s="1" t="n">
        <v>44400</v>
      </c>
      <c r="E387" s="1" t="n">
        <v>46216</v>
      </c>
      <c r="F387" t="inlineStr">
        <is>
          <t>ÖSTERGÖTLANDS LÄN</t>
        </is>
      </c>
      <c r="G387" t="inlineStr">
        <is>
          <t>ÅTVIDABERG</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58963-2021</t>
        </is>
      </c>
      <c r="B388" t="inlineStr">
        <is>
          <t>avverkningsanmälan</t>
        </is>
      </c>
      <c r="C388" t="inlineStr">
        <is>
          <t>Avverkning för att bevara och utveckla /försöksver</t>
        </is>
      </c>
      <c r="D388" s="1" t="n">
        <v>44489</v>
      </c>
      <c r="E388" s="1" t="n">
        <v>46216</v>
      </c>
      <c r="F388" t="inlineStr">
        <is>
          <t>ÖSTERGÖTLANDS LÄN</t>
        </is>
      </c>
      <c r="G388" t="inlineStr">
        <is>
          <t>ÅTVIDABERG</t>
        </is>
      </c>
      <c r="H388" t="inlineStr">
        <is>
          <t>Sveaskog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37179-2022</t>
        </is>
      </c>
      <c r="B389" t="inlineStr">
        <is>
          <t>avverkningsanmälan</t>
        </is>
      </c>
      <c r="C389" t="inlineStr">
        <is>
          <t>Föryngringsavverkning</t>
        </is>
      </c>
      <c r="D389" s="1" t="n">
        <v>44806</v>
      </c>
      <c r="E389" s="1" t="n">
        <v>46216</v>
      </c>
      <c r="F389" t="inlineStr">
        <is>
          <t>ÖSTERGÖTLANDS LÄN</t>
        </is>
      </c>
      <c r="G389" t="inlineStr">
        <is>
          <t>ÅTVIDABERG</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27513-2023</t>
        </is>
      </c>
      <c r="B390" t="inlineStr">
        <is>
          <t>avverkningsanmälan</t>
        </is>
      </c>
      <c r="C390" t="inlineStr">
        <is>
          <t>Föryngringsavverkning</t>
        </is>
      </c>
      <c r="D390" s="1" t="n">
        <v>45097</v>
      </c>
      <c r="E390" s="1" t="n">
        <v>46216</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37214-2023</t>
        </is>
      </c>
      <c r="B391" t="inlineStr">
        <is>
          <t>avverkningsanmälan</t>
        </is>
      </c>
      <c r="C391" t="inlineStr">
        <is>
          <t>Föryngringsavverkning</t>
        </is>
      </c>
      <c r="D391" s="1" t="n">
        <v>45155</v>
      </c>
      <c r="E391" s="1" t="n">
        <v>46216</v>
      </c>
      <c r="F391" t="inlineStr">
        <is>
          <t>ÖSTERGÖTLANDS LÄN</t>
        </is>
      </c>
      <c r="G391" t="inlineStr">
        <is>
          <t>ÅTVIDABERG</t>
        </is>
      </c>
      <c r="I391" t="n">
        <v>0.1</v>
      </c>
      <c r="J391" t="n">
        <v>0</v>
      </c>
      <c r="K391" t="n">
        <v>0</v>
      </c>
      <c r="L391" t="n">
        <v>0</v>
      </c>
      <c r="M391" t="n">
        <v>0</v>
      </c>
      <c r="N391" t="n">
        <v>0</v>
      </c>
      <c r="O391" t="n">
        <v>0</v>
      </c>
      <c r="P391" t="n">
        <v>0</v>
      </c>
      <c r="Q391" t="n">
        <v>0</v>
      </c>
      <c r="R391" t="n">
        <v>0</v>
      </c>
      <c r="S391" t="n">
        <v>0</v>
      </c>
      <c r="T391" t="n">
        <v>0</v>
      </c>
      <c r="U391" s="2" t="inlineStr"/>
    </row>
    <row r="392" ht="15" customHeight="1">
      <c r="A392" t="inlineStr">
        <is>
          <t>A 28824-2023</t>
        </is>
      </c>
      <c r="B392" t="inlineStr">
        <is>
          <t>avverkningsanmälan</t>
        </is>
      </c>
      <c r="C392" t="inlineStr">
        <is>
          <t>Avverkning för att bevara och utveckla /försöksver</t>
        </is>
      </c>
      <c r="D392" s="1" t="n">
        <v>45104</v>
      </c>
      <c r="E392" s="1" t="n">
        <v>46216</v>
      </c>
      <c r="F392" t="inlineStr">
        <is>
          <t>ÖSTERGÖTLANDS LÄN</t>
        </is>
      </c>
      <c r="G392" t="inlineStr">
        <is>
          <t>ÅTVIDABERG</t>
        </is>
      </c>
      <c r="H392" t="inlineStr">
        <is>
          <t>Sveaskog</t>
        </is>
      </c>
      <c r="I392" t="n">
        <v>2</v>
      </c>
      <c r="J392" t="n">
        <v>0</v>
      </c>
      <c r="K392" t="n">
        <v>0</v>
      </c>
      <c r="L392" t="n">
        <v>0</v>
      </c>
      <c r="M392" t="n">
        <v>0</v>
      </c>
      <c r="N392" t="n">
        <v>0</v>
      </c>
      <c r="O392" t="n">
        <v>0</v>
      </c>
      <c r="P392" t="n">
        <v>0</v>
      </c>
      <c r="Q392" t="n">
        <v>0</v>
      </c>
      <c r="R392" t="n">
        <v>0</v>
      </c>
      <c r="S392" t="n">
        <v>0</v>
      </c>
      <c r="T392" t="n">
        <v>0</v>
      </c>
      <c r="U392" s="2" t="inlineStr"/>
    </row>
    <row r="393" ht="15" customHeight="1">
      <c r="A393" t="inlineStr">
        <is>
          <t>A 21779-2024</t>
        </is>
      </c>
      <c r="B393" t="inlineStr">
        <is>
          <t>avverkningsanmälan</t>
        </is>
      </c>
      <c r="C393" t="inlineStr">
        <is>
          <t>Föryngringsavverkning</t>
        </is>
      </c>
      <c r="D393" s="1" t="n">
        <v>45442</v>
      </c>
      <c r="E393" s="1" t="n">
        <v>46216</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32030-2025</t>
        </is>
      </c>
      <c r="B394" t="inlineStr">
        <is>
          <t>avverkningsanmälan</t>
        </is>
      </c>
      <c r="C394" t="inlineStr">
        <is>
          <t>Föryngringsavverkning</t>
        </is>
      </c>
      <c r="D394" s="1" t="n">
        <v>45835</v>
      </c>
      <c r="E394" s="1" t="n">
        <v>46216</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50782-2022</t>
        </is>
      </c>
      <c r="B395" t="inlineStr">
        <is>
          <t>avverkningsanmälan</t>
        </is>
      </c>
      <c r="C395" t="inlineStr">
        <is>
          <t>Föryngringsavverkning</t>
        </is>
      </c>
      <c r="D395" s="1" t="n">
        <v>44862</v>
      </c>
      <c r="E395" s="1" t="n">
        <v>46216</v>
      </c>
      <c r="F395" t="inlineStr">
        <is>
          <t>ÖSTERGÖTLANDS LÄN</t>
        </is>
      </c>
      <c r="G395" t="inlineStr">
        <is>
          <t>ÅTVIDABERG</t>
        </is>
      </c>
      <c r="H395" t="inlineStr">
        <is>
          <t>Övriga statliga verk och myndigheter</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13583-2025</t>
        </is>
      </c>
      <c r="B396" t="inlineStr">
        <is>
          <t>avverkningsanmälan</t>
        </is>
      </c>
      <c r="C396" t="inlineStr">
        <is>
          <t>Föryngringsavverkning</t>
        </is>
      </c>
      <c r="D396" s="1" t="n">
        <v>45736</v>
      </c>
      <c r="E396" s="1" t="n">
        <v>46216</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12297-2024</t>
        </is>
      </c>
      <c r="B397" t="inlineStr">
        <is>
          <t>avverkningsanmälan</t>
        </is>
      </c>
      <c r="C397" t="inlineStr">
        <is>
          <t>Avverkning för annat ändamål</t>
        </is>
      </c>
      <c r="D397" s="1" t="n">
        <v>45378</v>
      </c>
      <c r="E397" s="1" t="n">
        <v>46216</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29349-2024</t>
        </is>
      </c>
      <c r="B398" t="inlineStr">
        <is>
          <t>avverkningsanmälan</t>
        </is>
      </c>
      <c r="C398" t="inlineStr">
        <is>
          <t>Föryngringsavverkning</t>
        </is>
      </c>
      <c r="D398" s="1" t="n">
        <v>45483</v>
      </c>
      <c r="E398" s="1" t="n">
        <v>46216</v>
      </c>
      <c r="F398" t="inlineStr">
        <is>
          <t>ÖSTERGÖTLANDS LÄN</t>
        </is>
      </c>
      <c r="G398" t="inlineStr">
        <is>
          <t>ÅTVIDABERG</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7609-2023</t>
        </is>
      </c>
      <c r="B399" t="inlineStr">
        <is>
          <t>avverkningsanmälan</t>
        </is>
      </c>
      <c r="C399" t="inlineStr">
        <is>
          <t>Föryngringsavverkning</t>
        </is>
      </c>
      <c r="D399" s="1" t="n">
        <v>44972</v>
      </c>
      <c r="E399" s="1" t="n">
        <v>46216</v>
      </c>
      <c r="F399" t="inlineStr">
        <is>
          <t>ÖSTERGÖTLANDS LÄN</t>
        </is>
      </c>
      <c r="G399" t="inlineStr">
        <is>
          <t>ÅTVIDABERG</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50422-2024</t>
        </is>
      </c>
      <c r="B400" t="inlineStr">
        <is>
          <t>avverkningsanmälan</t>
        </is>
      </c>
      <c r="C400" t="inlineStr">
        <is>
          <t>Föryngringsavverkning</t>
        </is>
      </c>
      <c r="D400" s="1" t="n">
        <v>45601</v>
      </c>
      <c r="E400" s="1" t="n">
        <v>46216</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1138-2025</t>
        </is>
      </c>
      <c r="B401" t="inlineStr">
        <is>
          <t>avverkningsanmälan</t>
        </is>
      </c>
      <c r="C401" t="inlineStr">
        <is>
          <t>Föryngringsavverkning</t>
        </is>
      </c>
      <c r="D401" s="1" t="n">
        <v>45666</v>
      </c>
      <c r="E401" s="1" t="n">
        <v>46216</v>
      </c>
      <c r="F401" t="inlineStr">
        <is>
          <t>ÖSTERGÖTLANDS LÄN</t>
        </is>
      </c>
      <c r="G401" t="inlineStr">
        <is>
          <t>ÅTVIDABERG</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26938-2026</t>
        </is>
      </c>
      <c r="B402" t="inlineStr">
        <is>
          <t>avverkningsanmälan</t>
        </is>
      </c>
      <c r="C402" t="inlineStr">
        <is>
          <t>Föryngringsavverkning</t>
        </is>
      </c>
      <c r="D402" s="1" t="n">
        <v>46185</v>
      </c>
      <c r="E402" s="1" t="n">
        <v>46216</v>
      </c>
      <c r="F402" t="inlineStr">
        <is>
          <t>ÖSTERGÖTLANDS LÄN</t>
        </is>
      </c>
      <c r="G402" t="inlineStr">
        <is>
          <t>ÅTVIDABERG</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40475-2024</t>
        </is>
      </c>
      <c r="B403" t="inlineStr">
        <is>
          <t>avverkningsanmälan</t>
        </is>
      </c>
      <c r="C403" t="inlineStr">
        <is>
          <t>Föryngringsavverkning</t>
        </is>
      </c>
      <c r="D403" s="1" t="n">
        <v>45555</v>
      </c>
      <c r="E403" s="1" t="n">
        <v>46216</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7169-2023</t>
        </is>
      </c>
      <c r="B404" t="inlineStr">
        <is>
          <t>avverkningsanmälan</t>
        </is>
      </c>
      <c r="C404" t="inlineStr">
        <is>
          <t>Föryngringsavverkning</t>
        </is>
      </c>
      <c r="D404" s="1" t="n">
        <v>44970</v>
      </c>
      <c r="E404" s="1" t="n">
        <v>46216</v>
      </c>
      <c r="F404" t="inlineStr">
        <is>
          <t>ÖSTERGÖTLANDS LÄN</t>
        </is>
      </c>
      <c r="G404" t="inlineStr">
        <is>
          <t>ÅTVIDABERG</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36885-2024</t>
        </is>
      </c>
      <c r="B405" t="inlineStr">
        <is>
          <t>avverkningsanmälan</t>
        </is>
      </c>
      <c r="C405" t="inlineStr">
        <is>
          <t>Föryngringsavverkning</t>
        </is>
      </c>
      <c r="D405" s="1" t="n">
        <v>45538</v>
      </c>
      <c r="E405" s="1" t="n">
        <v>46216</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668-2023</t>
        </is>
      </c>
      <c r="B406" t="inlineStr">
        <is>
          <t>avverkningsanmälan</t>
        </is>
      </c>
      <c r="C406" t="inlineStr">
        <is>
          <t>Föryngringsavverkning</t>
        </is>
      </c>
      <c r="D406" s="1" t="n">
        <v>44930</v>
      </c>
      <c r="E406" s="1" t="n">
        <v>46216</v>
      </c>
      <c r="F406" t="inlineStr">
        <is>
          <t>ÖSTERGÖTLANDS LÄN</t>
        </is>
      </c>
      <c r="G406" t="inlineStr">
        <is>
          <t>ÅTVIDABERG</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18485-2023</t>
        </is>
      </c>
      <c r="B407" t="inlineStr">
        <is>
          <t>avverkningsanmälan</t>
        </is>
      </c>
      <c r="C407" t="inlineStr">
        <is>
          <t>Föryngringsavverkning</t>
        </is>
      </c>
      <c r="D407" s="1" t="n">
        <v>45042</v>
      </c>
      <c r="E407" s="1" t="n">
        <v>46216</v>
      </c>
      <c r="F407" t="inlineStr">
        <is>
          <t>ÖSTERGÖTLANDS LÄN</t>
        </is>
      </c>
      <c r="G407" t="inlineStr">
        <is>
          <t>ÅTVIDABERG</t>
        </is>
      </c>
      <c r="I407" t="n">
        <v>2.5</v>
      </c>
      <c r="J407" t="n">
        <v>0</v>
      </c>
      <c r="K407" t="n">
        <v>0</v>
      </c>
      <c r="L407" t="n">
        <v>0</v>
      </c>
      <c r="M407" t="n">
        <v>0</v>
      </c>
      <c r="N407" t="n">
        <v>0</v>
      </c>
      <c r="O407" t="n">
        <v>0</v>
      </c>
      <c r="P407" t="n">
        <v>0</v>
      </c>
      <c r="Q407" t="n">
        <v>0</v>
      </c>
      <c r="R407" t="n">
        <v>0</v>
      </c>
      <c r="S407" t="n">
        <v>0</v>
      </c>
      <c r="T407" t="n">
        <v>0</v>
      </c>
      <c r="U407" s="2" t="inlineStr"/>
    </row>
    <row r="408" ht="15" customHeight="1">
      <c r="A408" t="inlineStr">
        <is>
          <t>A 26911-2023</t>
        </is>
      </c>
      <c r="B408" t="inlineStr">
        <is>
          <t>avverkningsanmälan</t>
        </is>
      </c>
      <c r="C408" t="inlineStr">
        <is>
          <t>Föryngringsavverkning</t>
        </is>
      </c>
      <c r="D408" s="1" t="n">
        <v>45090</v>
      </c>
      <c r="E408" s="1" t="n">
        <v>46216</v>
      </c>
      <c r="F408" t="inlineStr">
        <is>
          <t>ÖSTERGÖTLANDS LÄN</t>
        </is>
      </c>
      <c r="G408" t="inlineStr">
        <is>
          <t>ÅTVIDABERG</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60516-2021</t>
        </is>
      </c>
      <c r="B409" t="inlineStr">
        <is>
          <t>avverkningsanmälan</t>
        </is>
      </c>
      <c r="C409" t="inlineStr">
        <is>
          <t>Föryngringsavverkning</t>
        </is>
      </c>
      <c r="D409" s="1" t="n">
        <v>44495</v>
      </c>
      <c r="E409" s="1" t="n">
        <v>46216</v>
      </c>
      <c r="F409" t="inlineStr">
        <is>
          <t>ÖSTERGÖTLANDS LÄN</t>
        </is>
      </c>
      <c r="G409" t="inlineStr">
        <is>
          <t>ÅTVIDABERG</t>
        </is>
      </c>
      <c r="H409" t="inlineStr">
        <is>
          <t>Övriga Aktiebolag</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27986-2023</t>
        </is>
      </c>
      <c r="B410" t="inlineStr">
        <is>
          <t>avverkningsanmälan</t>
        </is>
      </c>
      <c r="C410" t="inlineStr">
        <is>
          <t>Föryngringsavverkning</t>
        </is>
      </c>
      <c r="D410" s="1" t="n">
        <v>45098</v>
      </c>
      <c r="E410" s="1" t="n">
        <v>46216</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27987-2023</t>
        </is>
      </c>
      <c r="B411" t="inlineStr">
        <is>
          <t>avverkningsanmälan</t>
        </is>
      </c>
      <c r="C411" t="inlineStr">
        <is>
          <t>Föryngringsavverkning</t>
        </is>
      </c>
      <c r="D411" s="1" t="n">
        <v>45098</v>
      </c>
      <c r="E411" s="1" t="n">
        <v>46216</v>
      </c>
      <c r="F411" t="inlineStr">
        <is>
          <t>ÖSTERGÖTLANDS LÄN</t>
        </is>
      </c>
      <c r="G411" t="inlineStr">
        <is>
          <t>ÅTVIDABERG</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21511-2023</t>
        </is>
      </c>
      <c r="B412" t="inlineStr">
        <is>
          <t>avverkningsanmälan</t>
        </is>
      </c>
      <c r="C412" t="inlineStr">
        <is>
          <t>Föryngringsavverkning</t>
        </is>
      </c>
      <c r="D412" s="1" t="n">
        <v>45063</v>
      </c>
      <c r="E412" s="1" t="n">
        <v>46216</v>
      </c>
      <c r="F412" t="inlineStr">
        <is>
          <t>ÖSTERGÖTLANDS LÄN</t>
        </is>
      </c>
      <c r="G412" t="inlineStr">
        <is>
          <t>ÅTVIDABERG</t>
        </is>
      </c>
      <c r="H412" t="inlineStr">
        <is>
          <t>Kyrkan</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56551-2023</t>
        </is>
      </c>
      <c r="B413" t="inlineStr">
        <is>
          <t>avverkningsanmälan</t>
        </is>
      </c>
      <c r="C413" t="inlineStr">
        <is>
          <t>Föryngringsavverkning</t>
        </is>
      </c>
      <c r="D413" s="1" t="n">
        <v>45243</v>
      </c>
      <c r="E413" s="1" t="n">
        <v>46216</v>
      </c>
      <c r="F413" t="inlineStr">
        <is>
          <t>ÖSTERGÖTLANDS LÄN</t>
        </is>
      </c>
      <c r="G413" t="inlineStr">
        <is>
          <t>ÅTVIDABERG</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5491-2024</t>
        </is>
      </c>
      <c r="B414" t="inlineStr">
        <is>
          <t>avverkningsanmälan</t>
        </is>
      </c>
      <c r="C414" t="inlineStr">
        <is>
          <t>Föryngringsavverkning</t>
        </is>
      </c>
      <c r="D414" s="1" t="n">
        <v>45334</v>
      </c>
      <c r="E414" s="1" t="n">
        <v>46216</v>
      </c>
      <c r="F414" t="inlineStr">
        <is>
          <t>ÖSTERGÖTLANDS LÄN</t>
        </is>
      </c>
      <c r="G414" t="inlineStr">
        <is>
          <t>ÅTVIDABERG</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56537-2023</t>
        </is>
      </c>
      <c r="B415" t="inlineStr">
        <is>
          <t>avverkningsanmälan</t>
        </is>
      </c>
      <c r="C415" t="inlineStr">
        <is>
          <t>Föryngringsavverkning</t>
        </is>
      </c>
      <c r="D415" s="1" t="n">
        <v>45243</v>
      </c>
      <c r="E415" s="1" t="n">
        <v>46216</v>
      </c>
      <c r="F415" t="inlineStr">
        <is>
          <t>ÖSTERGÖTLANDS LÄN</t>
        </is>
      </c>
      <c r="G415" t="inlineStr">
        <is>
          <t>ÅTVIDABERG</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27530-2026</t>
        </is>
      </c>
      <c r="B416" t="inlineStr">
        <is>
          <t>avverkningsanmälan</t>
        </is>
      </c>
      <c r="C416" t="inlineStr">
        <is>
          <t>Föryngringsavverkning</t>
        </is>
      </c>
      <c r="D416" s="1" t="n">
        <v>46189</v>
      </c>
      <c r="E416" s="1" t="n">
        <v>46216</v>
      </c>
      <c r="F416" t="inlineStr">
        <is>
          <t>ÖSTERGÖTLANDS LÄN</t>
        </is>
      </c>
      <c r="G416" t="inlineStr">
        <is>
          <t>ÅTVIDABERG</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27529-2026</t>
        </is>
      </c>
      <c r="B417" t="inlineStr">
        <is>
          <t>avverkningsanmälan</t>
        </is>
      </c>
      <c r="C417" t="inlineStr">
        <is>
          <t>Föryngringsavverkning</t>
        </is>
      </c>
      <c r="D417" s="1" t="n">
        <v>46189</v>
      </c>
      <c r="E417" s="1" t="n">
        <v>46216</v>
      </c>
      <c r="F417" t="inlineStr">
        <is>
          <t>ÖSTERGÖTLANDS LÄN</t>
        </is>
      </c>
      <c r="G417" t="inlineStr">
        <is>
          <t>ÅTVIDABERG</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15913-2023</t>
        </is>
      </c>
      <c r="B418" t="inlineStr">
        <is>
          <t>avverkningsanmälan</t>
        </is>
      </c>
      <c r="C418" t="inlineStr">
        <is>
          <t>Föryngringsavverkning</t>
        </is>
      </c>
      <c r="D418" s="1" t="n">
        <v>45022</v>
      </c>
      <c r="E418" s="1" t="n">
        <v>46216</v>
      </c>
      <c r="F418" t="inlineStr">
        <is>
          <t>ÖSTERGÖTLANDS LÄN</t>
        </is>
      </c>
      <c r="G418" t="inlineStr">
        <is>
          <t>ÅTVIDABERG</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A 58563-2022</t>
        </is>
      </c>
      <c r="B419" t="inlineStr">
        <is>
          <t>avverkningsanmälan</t>
        </is>
      </c>
      <c r="C419" t="inlineStr">
        <is>
          <t>Föryngringsavverkning</t>
        </is>
      </c>
      <c r="D419" s="1" t="n">
        <v>44902</v>
      </c>
      <c r="E419" s="1" t="n">
        <v>46216</v>
      </c>
      <c r="F419" t="inlineStr">
        <is>
          <t>ÖSTERGÖTLANDS LÄN</t>
        </is>
      </c>
      <c r="G419" t="inlineStr">
        <is>
          <t>ÅTVIDABERG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52524-2023</t>
        </is>
      </c>
      <c r="B420" t="inlineStr">
        <is>
          <t>avverkningsanmälan</t>
        </is>
      </c>
      <c r="C420" t="inlineStr">
        <is>
          <t>Föryngringsavverkning</t>
        </is>
      </c>
      <c r="D420" s="1" t="n">
        <v>45225</v>
      </c>
      <c r="E420" s="1" t="n">
        <v>46216</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1847-2022</t>
        </is>
      </c>
      <c r="B421" t="inlineStr">
        <is>
          <t>avverkningsanmälan</t>
        </is>
      </c>
      <c r="C421" t="inlineStr">
        <is>
          <t>Föryngringsavverkning</t>
        </is>
      </c>
      <c r="D421" s="1" t="n">
        <v>44574</v>
      </c>
      <c r="E421" s="1" t="n">
        <v>46216</v>
      </c>
      <c r="F421" t="inlineStr">
        <is>
          <t>ÖSTERGÖTLANDS LÄN</t>
        </is>
      </c>
      <c r="G421" t="inlineStr">
        <is>
          <t>ÅTVIDABERG</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62236-2022</t>
        </is>
      </c>
      <c r="B422" t="inlineStr">
        <is>
          <t>avverkningsanmälan</t>
        </is>
      </c>
      <c r="C422" t="inlineStr">
        <is>
          <t>Föryngringsavverkning</t>
        </is>
      </c>
      <c r="D422" s="1" t="n">
        <v>44922</v>
      </c>
      <c r="E422" s="1" t="n">
        <v>46216</v>
      </c>
      <c r="F422" t="inlineStr">
        <is>
          <t>ÖSTERGÖTLANDS LÄN</t>
        </is>
      </c>
      <c r="G422" t="inlineStr">
        <is>
          <t>ÅTVIDABERG</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27999-2026</t>
        </is>
      </c>
      <c r="B423" t="inlineStr">
        <is>
          <t>avverkningsanmälan</t>
        </is>
      </c>
      <c r="C423" t="inlineStr">
        <is>
          <t>Föryngringsavverkning</t>
        </is>
      </c>
      <c r="D423" s="1" t="n">
        <v>46195</v>
      </c>
      <c r="E423" s="1" t="n">
        <v>46216</v>
      </c>
      <c r="F423" t="inlineStr">
        <is>
          <t>ÖSTERGÖTLANDS LÄN</t>
        </is>
      </c>
      <c r="G423" t="inlineStr">
        <is>
          <t>ÅTVIDABERG</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11505-2022</t>
        </is>
      </c>
      <c r="B424" t="inlineStr">
        <is>
          <t>avverkningsanmälan</t>
        </is>
      </c>
      <c r="C424" t="inlineStr">
        <is>
          <t>Föryngringsavverkning</t>
        </is>
      </c>
      <c r="D424" s="1" t="n">
        <v>44631</v>
      </c>
      <c r="E424" s="1" t="n">
        <v>46216</v>
      </c>
      <c r="F424" t="inlineStr">
        <is>
          <t>ÖSTERGÖTLANDS LÄN</t>
        </is>
      </c>
      <c r="G424" t="inlineStr">
        <is>
          <t>ÅTVIDABERG</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28159-2026</t>
        </is>
      </c>
      <c r="B425" t="inlineStr">
        <is>
          <t>avverkningsanmälan</t>
        </is>
      </c>
      <c r="C425" t="inlineStr">
        <is>
          <t>Föryngringsavverkning</t>
        </is>
      </c>
      <c r="D425" s="1" t="n">
        <v>46195</v>
      </c>
      <c r="E425" s="1" t="n">
        <v>46216</v>
      </c>
      <c r="F425" t="inlineStr">
        <is>
          <t>ÖSTERGÖTLANDS LÄN</t>
        </is>
      </c>
      <c r="G425" t="inlineStr">
        <is>
          <t>ÅTVIDABERG</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61670-2022</t>
        </is>
      </c>
      <c r="B426" t="inlineStr">
        <is>
          <t>avverkningsanmälan</t>
        </is>
      </c>
      <c r="C426" t="inlineStr">
        <is>
          <t>Föryngringsavverkning</t>
        </is>
      </c>
      <c r="D426" s="1" t="n">
        <v>44917</v>
      </c>
      <c r="E426" s="1" t="n">
        <v>46216</v>
      </c>
      <c r="F426" t="inlineStr">
        <is>
          <t>ÖSTERGÖTLANDS LÄN</t>
        </is>
      </c>
      <c r="G426" t="inlineStr">
        <is>
          <t>ÅTVIDABERG</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27642-2023</t>
        </is>
      </c>
      <c r="B427" t="inlineStr">
        <is>
          <t>avverkningsanmälan</t>
        </is>
      </c>
      <c r="C427" t="inlineStr">
        <is>
          <t>Föryngringsavverkning</t>
        </is>
      </c>
      <c r="D427" s="1" t="n">
        <v>45097</v>
      </c>
      <c r="E427" s="1" t="n">
        <v>46216</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52161-2023</t>
        </is>
      </c>
      <c r="B428" t="inlineStr">
        <is>
          <t>avverkningsanmälan</t>
        </is>
      </c>
      <c r="C428" t="inlineStr">
        <is>
          <t>Föryngringsavverkning</t>
        </is>
      </c>
      <c r="D428" s="1" t="n">
        <v>45224</v>
      </c>
      <c r="E428" s="1" t="n">
        <v>46216</v>
      </c>
      <c r="F428" t="inlineStr">
        <is>
          <t>ÖSTERGÖTLANDS LÄN</t>
        </is>
      </c>
      <c r="G428" t="inlineStr">
        <is>
          <t>ÅTVIDABERG</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9759-2022</t>
        </is>
      </c>
      <c r="B429" t="inlineStr">
        <is>
          <t>avverkningsanmälan</t>
        </is>
      </c>
      <c r="C429" t="inlineStr">
        <is>
          <t>Föryngringsavverkning</t>
        </is>
      </c>
      <c r="D429" s="1" t="n">
        <v>44618</v>
      </c>
      <c r="E429" s="1" t="n">
        <v>46216</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27417-2022</t>
        </is>
      </c>
      <c r="B430" t="inlineStr">
        <is>
          <t>avverkningsanmälan</t>
        </is>
      </c>
      <c r="C430" t="inlineStr">
        <is>
          <t>Föryngringsavverkning</t>
        </is>
      </c>
      <c r="D430" s="1" t="n">
        <v>44742</v>
      </c>
      <c r="E430" s="1" t="n">
        <v>46216</v>
      </c>
      <c r="F430" t="inlineStr">
        <is>
          <t>ÖSTERGÖTLANDS LÄN</t>
        </is>
      </c>
      <c r="G430" t="inlineStr">
        <is>
          <t>ÅTVIDABERG</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13357-2024</t>
        </is>
      </c>
      <c r="B431" t="inlineStr">
        <is>
          <t>avverkningsanmälan</t>
        </is>
      </c>
      <c r="C431" t="inlineStr">
        <is>
          <t>Föryngringsavverkning</t>
        </is>
      </c>
      <c r="D431" s="1" t="n">
        <v>45387</v>
      </c>
      <c r="E431" s="1" t="n">
        <v>46216</v>
      </c>
      <c r="F431" t="inlineStr">
        <is>
          <t>ÖSTERGÖTLANDS LÄN</t>
        </is>
      </c>
      <c r="G431" t="inlineStr">
        <is>
          <t>ÅTVIDABERG</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32742-2023</t>
        </is>
      </c>
      <c r="B432" t="inlineStr">
        <is>
          <t>avverkningsanmälan</t>
        </is>
      </c>
      <c r="C432" t="inlineStr">
        <is>
          <t>Föryngringsavverkning</t>
        </is>
      </c>
      <c r="D432" s="1" t="n">
        <v>45122</v>
      </c>
      <c r="E432" s="1" t="n">
        <v>46216</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27809-2025</t>
        </is>
      </c>
      <c r="B433" t="inlineStr">
        <is>
          <t>avverkningsanmälan</t>
        </is>
      </c>
      <c r="C433" t="inlineStr">
        <is>
          <t>Föryngringsavverkning</t>
        </is>
      </c>
      <c r="D433" s="1" t="n">
        <v>45817</v>
      </c>
      <c r="E433" s="1" t="n">
        <v>46216</v>
      </c>
      <c r="F433" t="inlineStr">
        <is>
          <t>ÖSTERGÖTLANDS LÄN</t>
        </is>
      </c>
      <c r="G433" t="inlineStr">
        <is>
          <t>ÅTVIDABERG</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27978-2022</t>
        </is>
      </c>
      <c r="B434" t="inlineStr">
        <is>
          <t>avverkningsanmälan</t>
        </is>
      </c>
      <c r="C434" t="inlineStr">
        <is>
          <t>Föryngringsavverkning</t>
        </is>
      </c>
      <c r="D434" s="1" t="n">
        <v>44745</v>
      </c>
      <c r="E434" s="1" t="n">
        <v>46216</v>
      </c>
      <c r="F434" t="inlineStr">
        <is>
          <t>ÖSTERGÖTLANDS LÄN</t>
        </is>
      </c>
      <c r="G434" t="inlineStr">
        <is>
          <t>ÅTVIDABERG</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22324-2026</t>
        </is>
      </c>
      <c r="B435" t="inlineStr">
        <is>
          <t>avverkningsanmälan</t>
        </is>
      </c>
      <c r="C435" t="inlineStr">
        <is>
          <t>Föryngringsavverkning</t>
        </is>
      </c>
      <c r="D435" s="1" t="n">
        <v>46154</v>
      </c>
      <c r="E435" s="1" t="n">
        <v>46216</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43382-2023</t>
        </is>
      </c>
      <c r="B436" t="inlineStr">
        <is>
          <t>avverkningsanmälan</t>
        </is>
      </c>
      <c r="C436" t="inlineStr">
        <is>
          <t>Föryngringsavverkning</t>
        </is>
      </c>
      <c r="D436" s="1" t="n">
        <v>45183</v>
      </c>
      <c r="E436" s="1" t="n">
        <v>46216</v>
      </c>
      <c r="F436" t="inlineStr">
        <is>
          <t>ÖSTERGÖTLANDS LÄN</t>
        </is>
      </c>
      <c r="G436" t="inlineStr">
        <is>
          <t>ÅTVIDABERG</t>
        </is>
      </c>
      <c r="I436" t="n">
        <v>3</v>
      </c>
      <c r="J436" t="n">
        <v>0</v>
      </c>
      <c r="K436" t="n">
        <v>0</v>
      </c>
      <c r="L436" t="n">
        <v>0</v>
      </c>
      <c r="M436" t="n">
        <v>0</v>
      </c>
      <c r="N436" t="n">
        <v>0</v>
      </c>
      <c r="O436" t="n">
        <v>0</v>
      </c>
      <c r="P436" t="n">
        <v>0</v>
      </c>
      <c r="Q436" t="n">
        <v>0</v>
      </c>
      <c r="R436" t="n">
        <v>0</v>
      </c>
      <c r="S436" t="n">
        <v>0</v>
      </c>
      <c r="T436" t="n">
        <v>0</v>
      </c>
      <c r="U436" s="2" t="inlineStr"/>
    </row>
    <row r="437" ht="15" customHeight="1">
      <c r="A437" t="inlineStr">
        <is>
          <t>A 15194-2024</t>
        </is>
      </c>
      <c r="B437" t="inlineStr">
        <is>
          <t>avverkningsanmälan</t>
        </is>
      </c>
      <c r="C437" t="inlineStr">
        <is>
          <t>Avverkning för annat ändamål</t>
        </is>
      </c>
      <c r="D437" s="1" t="n">
        <v>45400</v>
      </c>
      <c r="E437" s="1" t="n">
        <v>46216</v>
      </c>
      <c r="F437" t="inlineStr">
        <is>
          <t>ÖSTERGÖTLANDS LÄN</t>
        </is>
      </c>
      <c r="G437" t="inlineStr">
        <is>
          <t>ÅTVIDABERG</t>
        </is>
      </c>
      <c r="I437" t="n">
        <v>0.2</v>
      </c>
      <c r="J437" t="n">
        <v>0</v>
      </c>
      <c r="K437" t="n">
        <v>0</v>
      </c>
      <c r="L437" t="n">
        <v>0</v>
      </c>
      <c r="M437" t="n">
        <v>0</v>
      </c>
      <c r="N437" t="n">
        <v>0</v>
      </c>
      <c r="O437" t="n">
        <v>0</v>
      </c>
      <c r="P437" t="n">
        <v>0</v>
      </c>
      <c r="Q437" t="n">
        <v>0</v>
      </c>
      <c r="R437" t="n">
        <v>0</v>
      </c>
      <c r="S437" t="n">
        <v>0</v>
      </c>
      <c r="T437" t="n">
        <v>0</v>
      </c>
      <c r="U437" s="2" t="inlineStr"/>
    </row>
    <row r="438" ht="15" customHeight="1">
      <c r="A438" t="inlineStr">
        <is>
          <t>A 22646-2026</t>
        </is>
      </c>
      <c r="B438" t="inlineStr">
        <is>
          <t>avverkningsanmälan</t>
        </is>
      </c>
      <c r="C438" t="inlineStr">
        <is>
          <t>Föryngringsavverkning</t>
        </is>
      </c>
      <c r="D438" s="1" t="n">
        <v>46155</v>
      </c>
      <c r="E438" s="1" t="n">
        <v>46216</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s="2" t="inlineStr"/>
    </row>
    <row r="439" ht="15" customHeight="1">
      <c r="A439" t="inlineStr">
        <is>
          <t>A 28262-2026</t>
        </is>
      </c>
      <c r="B439" t="inlineStr">
        <is>
          <t>avverkningsanmälan</t>
        </is>
      </c>
      <c r="C439" t="inlineStr">
        <is>
          <t>Föryngringsavverkning</t>
        </is>
      </c>
      <c r="D439" s="1" t="n">
        <v>46196</v>
      </c>
      <c r="E439" s="1" t="n">
        <v>46216</v>
      </c>
      <c r="F439" t="inlineStr">
        <is>
          <t>ÖSTERGÖTLANDS LÄN</t>
        </is>
      </c>
      <c r="G439" t="inlineStr">
        <is>
          <t>ÅTVIDABERG</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6372-2023</t>
        </is>
      </c>
      <c r="B440" t="inlineStr">
        <is>
          <t>avverkningsanmälan</t>
        </is>
      </c>
      <c r="C440" t="inlineStr">
        <is>
          <t>Föryngringsavverkning</t>
        </is>
      </c>
      <c r="D440" s="1" t="n">
        <v>44965</v>
      </c>
      <c r="E440" s="1" t="n">
        <v>46216</v>
      </c>
      <c r="F440" t="inlineStr">
        <is>
          <t>ÖSTERGÖTLANDS LÄN</t>
        </is>
      </c>
      <c r="G440" t="inlineStr">
        <is>
          <t>ÅTVIDABERG</t>
        </is>
      </c>
      <c r="I440" t="n">
        <v>2.8</v>
      </c>
      <c r="J440" t="n">
        <v>0</v>
      </c>
      <c r="K440" t="n">
        <v>0</v>
      </c>
      <c r="L440" t="n">
        <v>0</v>
      </c>
      <c r="M440" t="n">
        <v>0</v>
      </c>
      <c r="N440" t="n">
        <v>0</v>
      </c>
      <c r="O440" t="n">
        <v>0</v>
      </c>
      <c r="P440" t="n">
        <v>0</v>
      </c>
      <c r="Q440" t="n">
        <v>0</v>
      </c>
      <c r="R440" t="n">
        <v>0</v>
      </c>
      <c r="S440" t="n">
        <v>0</v>
      </c>
      <c r="T440" t="n">
        <v>0</v>
      </c>
      <c r="U440" s="2" t="inlineStr"/>
    </row>
    <row r="441" ht="15" customHeight="1">
      <c r="A441" t="inlineStr">
        <is>
          <t>A 27181-2024</t>
        </is>
      </c>
      <c r="B441" t="inlineStr">
        <is>
          <t>avverkningsanmälan</t>
        </is>
      </c>
      <c r="C441" t="inlineStr">
        <is>
          <t>Föryngringsavverkning</t>
        </is>
      </c>
      <c r="D441" s="1" t="n">
        <v>45471</v>
      </c>
      <c r="E441" s="1" t="n">
        <v>46216</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22323-2026</t>
        </is>
      </c>
      <c r="B442" t="inlineStr">
        <is>
          <t>avverkningsanmälan</t>
        </is>
      </c>
      <c r="C442" t="inlineStr">
        <is>
          <t>Föryngringsavverkning</t>
        </is>
      </c>
      <c r="D442" s="1" t="n">
        <v>46154</v>
      </c>
      <c r="E442" s="1" t="n">
        <v>46216</v>
      </c>
      <c r="F442" t="inlineStr">
        <is>
          <t>ÖSTERGÖTLANDS LÄN</t>
        </is>
      </c>
      <c r="G442" t="inlineStr">
        <is>
          <t>ÅTVIDABERG</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39071-2022</t>
        </is>
      </c>
      <c r="B443" t="inlineStr">
        <is>
          <t>avverkningsanmälan</t>
        </is>
      </c>
      <c r="C443" t="inlineStr">
        <is>
          <t>Föryngringsavverkning</t>
        </is>
      </c>
      <c r="D443" s="1" t="n">
        <v>44817</v>
      </c>
      <c r="E443" s="1" t="n">
        <v>46216</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4805-2024</t>
        </is>
      </c>
      <c r="B444" t="inlineStr">
        <is>
          <t>avverkningsanmälan</t>
        </is>
      </c>
      <c r="C444" t="inlineStr">
        <is>
          <t>Föryngringsavverkning</t>
        </is>
      </c>
      <c r="D444" s="1" t="n">
        <v>45328</v>
      </c>
      <c r="E444" s="1" t="n">
        <v>46216</v>
      </c>
      <c r="F444" t="inlineStr">
        <is>
          <t>ÖSTERGÖTLANDS LÄN</t>
        </is>
      </c>
      <c r="G444" t="inlineStr">
        <is>
          <t>ÅTVIDABERG</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49983-2024</t>
        </is>
      </c>
      <c r="B445" t="inlineStr">
        <is>
          <t>avverkningsanmälan</t>
        </is>
      </c>
      <c r="C445" t="inlineStr">
        <is>
          <t>Föryngringsavverkning</t>
        </is>
      </c>
      <c r="D445" s="1" t="n">
        <v>45597</v>
      </c>
      <c r="E445" s="1" t="n">
        <v>46216</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52527-2023</t>
        </is>
      </c>
      <c r="B446" t="inlineStr">
        <is>
          <t>avverkningsanmälan</t>
        </is>
      </c>
      <c r="C446" t="inlineStr">
        <is>
          <t>Föryngringsavverkning</t>
        </is>
      </c>
      <c r="D446" s="1" t="n">
        <v>45225</v>
      </c>
      <c r="E446" s="1" t="n">
        <v>46216</v>
      </c>
      <c r="F446" t="inlineStr">
        <is>
          <t>ÖSTERGÖTLANDS LÄN</t>
        </is>
      </c>
      <c r="G446" t="inlineStr">
        <is>
          <t>ÅTVIDABERG</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22690-2026</t>
        </is>
      </c>
      <c r="B447" t="inlineStr">
        <is>
          <t>avverkningsanmälan</t>
        </is>
      </c>
      <c r="C447" t="inlineStr">
        <is>
          <t>Föryngringsavverkning</t>
        </is>
      </c>
      <c r="D447" s="1" t="n">
        <v>46156</v>
      </c>
      <c r="E447" s="1" t="n">
        <v>46216</v>
      </c>
      <c r="F447" t="inlineStr">
        <is>
          <t>ÖSTERGÖTLANDS LÄN</t>
        </is>
      </c>
      <c r="G447" t="inlineStr">
        <is>
          <t>ÅTVIDABERG</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29433-2026</t>
        </is>
      </c>
      <c r="B448" t="inlineStr">
        <is>
          <t>avverkningsanmälan</t>
        </is>
      </c>
      <c r="C448" t="inlineStr">
        <is>
          <t>Föryngringsavverkning</t>
        </is>
      </c>
      <c r="D448" s="1" t="n">
        <v>46203</v>
      </c>
      <c r="E448" s="1" t="n">
        <v>46216</v>
      </c>
      <c r="F448" t="inlineStr">
        <is>
          <t>ÖSTERGÖTLANDS LÄN</t>
        </is>
      </c>
      <c r="G448" t="inlineStr">
        <is>
          <t>ÅTVIDABERG</t>
        </is>
      </c>
      <c r="H448" t="inlineStr">
        <is>
          <t>Övriga Aktiebolag</t>
        </is>
      </c>
      <c r="I448" t="n">
        <v>7.2</v>
      </c>
      <c r="J448" t="n">
        <v>0</v>
      </c>
      <c r="K448" t="n">
        <v>0</v>
      </c>
      <c r="L448" t="n">
        <v>0</v>
      </c>
      <c r="M448" t="n">
        <v>0</v>
      </c>
      <c r="N448" t="n">
        <v>0</v>
      </c>
      <c r="O448" t="n">
        <v>0</v>
      </c>
      <c r="P448" t="n">
        <v>0</v>
      </c>
      <c r="Q448" t="n">
        <v>0</v>
      </c>
      <c r="R448" t="n">
        <v>0</v>
      </c>
      <c r="S448" t="n">
        <v>0</v>
      </c>
      <c r="T448" t="n">
        <v>0</v>
      </c>
      <c r="U448" s="2" t="inlineStr"/>
    </row>
    <row r="449" ht="15" customHeight="1">
      <c r="A449" t="inlineStr">
        <is>
          <t>A 12450-2024</t>
        </is>
      </c>
      <c r="B449" t="inlineStr">
        <is>
          <t>avverkningsanmälan</t>
        </is>
      </c>
      <c r="C449" t="inlineStr">
        <is>
          <t>Föryngringsavverkning</t>
        </is>
      </c>
      <c r="D449" s="1" t="n">
        <v>45379</v>
      </c>
      <c r="E449" s="1" t="n">
        <v>46216</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12454-2024</t>
        </is>
      </c>
      <c r="B450" t="inlineStr">
        <is>
          <t>avverkningsanmälan</t>
        </is>
      </c>
      <c r="C450" t="inlineStr">
        <is>
          <t>Föryngringsavverkning</t>
        </is>
      </c>
      <c r="D450" s="1" t="n">
        <v>45379</v>
      </c>
      <c r="E450" s="1" t="n">
        <v>46216</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30649-2023</t>
        </is>
      </c>
      <c r="B451" t="inlineStr">
        <is>
          <t>avverkningsanmälan</t>
        </is>
      </c>
      <c r="C451" t="inlineStr">
        <is>
          <t>Föryngringsavverkning</t>
        </is>
      </c>
      <c r="D451" s="1" t="n">
        <v>45112</v>
      </c>
      <c r="E451" s="1" t="n">
        <v>46216</v>
      </c>
      <c r="F451" t="inlineStr">
        <is>
          <t>ÖSTERGÖTLANDS LÄN</t>
        </is>
      </c>
      <c r="G451" t="inlineStr">
        <is>
          <t>ÅTVIDABERG</t>
        </is>
      </c>
      <c r="H451" t="inlineStr">
        <is>
          <t>Övriga Aktiebolag</t>
        </is>
      </c>
      <c r="I451" t="n">
        <v>6.8</v>
      </c>
      <c r="J451" t="n">
        <v>0</v>
      </c>
      <c r="K451" t="n">
        <v>0</v>
      </c>
      <c r="L451" t="n">
        <v>0</v>
      </c>
      <c r="M451" t="n">
        <v>0</v>
      </c>
      <c r="N451" t="n">
        <v>0</v>
      </c>
      <c r="O451" t="n">
        <v>0</v>
      </c>
      <c r="P451" t="n">
        <v>0</v>
      </c>
      <c r="Q451" t="n">
        <v>0</v>
      </c>
      <c r="R451" t="n">
        <v>0</v>
      </c>
      <c r="S451" t="n">
        <v>0</v>
      </c>
      <c r="T451" t="n">
        <v>0</v>
      </c>
      <c r="U451" s="2" t="inlineStr"/>
    </row>
    <row r="452" ht="15" customHeight="1">
      <c r="A452" t="inlineStr">
        <is>
          <t>A 44502-2023</t>
        </is>
      </c>
      <c r="B452" t="inlineStr">
        <is>
          <t>avverkningsanmälan</t>
        </is>
      </c>
      <c r="C452" t="inlineStr">
        <is>
          <t>Föryngringsavverkning</t>
        </is>
      </c>
      <c r="D452" s="1" t="n">
        <v>45184</v>
      </c>
      <c r="E452" s="1" t="n">
        <v>46216</v>
      </c>
      <c r="F452" t="inlineStr">
        <is>
          <t>ÖSTERGÖTLANDS LÄN</t>
        </is>
      </c>
      <c r="G452" t="inlineStr">
        <is>
          <t>ÅTVIDABERG</t>
        </is>
      </c>
      <c r="I452" t="n">
        <v>2.9</v>
      </c>
      <c r="J452" t="n">
        <v>0</v>
      </c>
      <c r="K452" t="n">
        <v>0</v>
      </c>
      <c r="L452" t="n">
        <v>0</v>
      </c>
      <c r="M452" t="n">
        <v>0</v>
      </c>
      <c r="N452" t="n">
        <v>0</v>
      </c>
      <c r="O452" t="n">
        <v>0</v>
      </c>
      <c r="P452" t="n">
        <v>0</v>
      </c>
      <c r="Q452" t="n">
        <v>0</v>
      </c>
      <c r="R452" t="n">
        <v>0</v>
      </c>
      <c r="S452" t="n">
        <v>0</v>
      </c>
      <c r="T452" t="n">
        <v>0</v>
      </c>
      <c r="U452" s="2" t="inlineStr"/>
    </row>
    <row r="453" ht="15" customHeight="1">
      <c r="A453" t="inlineStr">
        <is>
          <t>A 29403-2026</t>
        </is>
      </c>
      <c r="B453" t="inlineStr">
        <is>
          <t>avverkningsanmälan</t>
        </is>
      </c>
      <c r="C453" t="inlineStr">
        <is>
          <t>Föryngringsavverkning</t>
        </is>
      </c>
      <c r="D453" s="1" t="n">
        <v>46203</v>
      </c>
      <c r="E453" s="1" t="n">
        <v>46216</v>
      </c>
      <c r="F453" t="inlineStr">
        <is>
          <t>ÖSTERGÖTLANDS LÄN</t>
        </is>
      </c>
      <c r="G453" t="inlineStr">
        <is>
          <t>ÅTVIDABERG</t>
        </is>
      </c>
      <c r="H453" t="inlineStr">
        <is>
          <t>Övriga Aktiebolag</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32743-2025</t>
        </is>
      </c>
      <c r="B454" t="inlineStr">
        <is>
          <t>avverkningsanmälan</t>
        </is>
      </c>
      <c r="C454" t="inlineStr">
        <is>
          <t>Avverkning för annat ändamål</t>
        </is>
      </c>
      <c r="D454" s="1" t="n">
        <v>45839</v>
      </c>
      <c r="E454" s="1" t="n">
        <v>46216</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3217-2024</t>
        </is>
      </c>
      <c r="B455" t="inlineStr">
        <is>
          <t>avverkningsanmälan</t>
        </is>
      </c>
      <c r="C455" t="inlineStr">
        <is>
          <t>Föryngringsavverkning</t>
        </is>
      </c>
      <c r="D455" s="1" t="n">
        <v>45316</v>
      </c>
      <c r="E455" s="1" t="n">
        <v>46216</v>
      </c>
      <c r="F455" t="inlineStr">
        <is>
          <t>ÖSTERGÖTLANDS LÄN</t>
        </is>
      </c>
      <c r="G455" t="inlineStr">
        <is>
          <t>ÅTVIDABERG</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29350-2026</t>
        </is>
      </c>
      <c r="B456" t="inlineStr">
        <is>
          <t>avverkningsanmälan</t>
        </is>
      </c>
      <c r="C456" t="inlineStr">
        <is>
          <t>Föryngringsavverkning</t>
        </is>
      </c>
      <c r="D456" s="1" t="n">
        <v>46203</v>
      </c>
      <c r="E456" s="1" t="n">
        <v>46216</v>
      </c>
      <c r="F456" t="inlineStr">
        <is>
          <t>ÖSTERGÖTLANDS LÄN</t>
        </is>
      </c>
      <c r="G456" t="inlineStr">
        <is>
          <t>ÅTVIDABERG</t>
        </is>
      </c>
      <c r="H456" t="inlineStr">
        <is>
          <t>Övriga Aktiebolag</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109-2022</t>
        </is>
      </c>
      <c r="B457" t="inlineStr">
        <is>
          <t>avverkningsanmälan</t>
        </is>
      </c>
      <c r="C457" t="inlineStr">
        <is>
          <t>Föryngringsavverkning</t>
        </is>
      </c>
      <c r="D457" s="1" t="n">
        <v>44564</v>
      </c>
      <c r="E457" s="1" t="n">
        <v>46216</v>
      </c>
      <c r="F457" t="inlineStr">
        <is>
          <t>ÖSTERGÖTLANDS LÄN</t>
        </is>
      </c>
      <c r="G457" t="inlineStr">
        <is>
          <t>ÅTVIDABERG</t>
        </is>
      </c>
      <c r="I457" t="n">
        <v>5.2</v>
      </c>
      <c r="J457" t="n">
        <v>0</v>
      </c>
      <c r="K457" t="n">
        <v>0</v>
      </c>
      <c r="L457" t="n">
        <v>0</v>
      </c>
      <c r="M457" t="n">
        <v>0</v>
      </c>
      <c r="N457" t="n">
        <v>0</v>
      </c>
      <c r="O457" t="n">
        <v>0</v>
      </c>
      <c r="P457" t="n">
        <v>0</v>
      </c>
      <c r="Q457" t="n">
        <v>0</v>
      </c>
      <c r="R457" t="n">
        <v>0</v>
      </c>
      <c r="S457" t="n">
        <v>0</v>
      </c>
      <c r="T457" t="n">
        <v>0</v>
      </c>
      <c r="U457" s="2" t="inlineStr"/>
    </row>
    <row r="458" ht="15" customHeight="1">
      <c r="A458" t="inlineStr">
        <is>
          <t>A 29456-2026</t>
        </is>
      </c>
      <c r="B458" t="inlineStr">
        <is>
          <t>avverkningsanmälan</t>
        </is>
      </c>
      <c r="C458" t="inlineStr">
        <is>
          <t>Föryngringsavverkning</t>
        </is>
      </c>
      <c r="D458" s="1" t="n">
        <v>46203</v>
      </c>
      <c r="E458" s="1" t="n">
        <v>46216</v>
      </c>
      <c r="F458" t="inlineStr">
        <is>
          <t>ÖSTERGÖTLANDS LÄN</t>
        </is>
      </c>
      <c r="G458" t="inlineStr">
        <is>
          <t>ÅTVIDABERG</t>
        </is>
      </c>
      <c r="H458" t="inlineStr">
        <is>
          <t>Övriga Aktiebolag</t>
        </is>
      </c>
      <c r="I458" t="n">
        <v>7.1</v>
      </c>
      <c r="J458" t="n">
        <v>0</v>
      </c>
      <c r="K458" t="n">
        <v>0</v>
      </c>
      <c r="L458" t="n">
        <v>0</v>
      </c>
      <c r="M458" t="n">
        <v>0</v>
      </c>
      <c r="N458" t="n">
        <v>0</v>
      </c>
      <c r="O458" t="n">
        <v>0</v>
      </c>
      <c r="P458" t="n">
        <v>0</v>
      </c>
      <c r="Q458" t="n">
        <v>0</v>
      </c>
      <c r="R458" t="n">
        <v>0</v>
      </c>
      <c r="S458" t="n">
        <v>0</v>
      </c>
      <c r="T458" t="n">
        <v>0</v>
      </c>
      <c r="U458" s="2" t="inlineStr"/>
    </row>
    <row r="459" ht="15" customHeight="1">
      <c r="A459" t="inlineStr">
        <is>
          <t>A 43082-2023</t>
        </is>
      </c>
      <c r="B459" t="inlineStr">
        <is>
          <t>avverkningsanmälan</t>
        </is>
      </c>
      <c r="C459" t="inlineStr">
        <is>
          <t>Föryngringsavverkning</t>
        </is>
      </c>
      <c r="D459" s="1" t="n">
        <v>45182</v>
      </c>
      <c r="E459" s="1" t="n">
        <v>46216</v>
      </c>
      <c r="F459" t="inlineStr">
        <is>
          <t>ÖSTERGÖTLANDS LÄN</t>
        </is>
      </c>
      <c r="G459" t="inlineStr">
        <is>
          <t>ÅTVIDABERG</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36772-2021</t>
        </is>
      </c>
      <c r="B460" t="inlineStr">
        <is>
          <t>avverkningsanmälan</t>
        </is>
      </c>
      <c r="C460" t="inlineStr">
        <is>
          <t>Föryngringsavverkning</t>
        </is>
      </c>
      <c r="D460" s="1" t="n">
        <v>44392</v>
      </c>
      <c r="E460" s="1" t="n">
        <v>46216</v>
      </c>
      <c r="F460" t="inlineStr">
        <is>
          <t>ÖSTERGÖTLANDS LÄN</t>
        </is>
      </c>
      <c r="G460" t="inlineStr">
        <is>
          <t>ÅTVIDABERG</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36777-2021</t>
        </is>
      </c>
      <c r="B461" t="inlineStr">
        <is>
          <t>avverkningsanmälan</t>
        </is>
      </c>
      <c r="C461" t="inlineStr">
        <is>
          <t>Föryngringsavverkning</t>
        </is>
      </c>
      <c r="D461" s="1" t="n">
        <v>44392</v>
      </c>
      <c r="E461" s="1" t="n">
        <v>46216</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5494-2024</t>
        </is>
      </c>
      <c r="B462" t="inlineStr">
        <is>
          <t>avverkningsanmälan</t>
        </is>
      </c>
      <c r="C462" t="inlineStr">
        <is>
          <t>Föryngringsavverkning</t>
        </is>
      </c>
      <c r="D462" s="1" t="n">
        <v>45334</v>
      </c>
      <c r="E462" s="1" t="n">
        <v>46216</v>
      </c>
      <c r="F462" t="inlineStr">
        <is>
          <t>ÖSTERGÖTLANDS LÄN</t>
        </is>
      </c>
      <c r="G462" t="inlineStr">
        <is>
          <t>ÅTVIDABERG</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44256-2022</t>
        </is>
      </c>
      <c r="B463" t="inlineStr">
        <is>
          <t>avverkningsanmälan</t>
        </is>
      </c>
      <c r="C463" t="inlineStr">
        <is>
          <t>Föryngringsavverkning</t>
        </is>
      </c>
      <c r="D463" s="1" t="n">
        <v>44839</v>
      </c>
      <c r="E463" s="1" t="n">
        <v>46216</v>
      </c>
      <c r="F463" t="inlineStr">
        <is>
          <t>ÖSTERGÖTLANDS LÄN</t>
        </is>
      </c>
      <c r="G463" t="inlineStr">
        <is>
          <t>ÅTVIDABERG</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29674-2026</t>
        </is>
      </c>
      <c r="B464" t="inlineStr">
        <is>
          <t>avverkningsanmälan</t>
        </is>
      </c>
      <c r="C464" t="inlineStr">
        <is>
          <t>Föryngringsavverkning</t>
        </is>
      </c>
      <c r="D464" s="1" t="n">
        <v>46204</v>
      </c>
      <c r="E464" s="1" t="n">
        <v>46216</v>
      </c>
      <c r="F464" t="inlineStr">
        <is>
          <t>ÖSTERGÖTLANDS LÄN</t>
        </is>
      </c>
      <c r="G464" t="inlineStr">
        <is>
          <t>ÅTVIDABERG</t>
        </is>
      </c>
      <c r="H464" t="inlineStr">
        <is>
          <t>Övriga Aktiebolag</t>
        </is>
      </c>
      <c r="I464" t="n">
        <v>4.4</v>
      </c>
      <c r="J464" t="n">
        <v>0</v>
      </c>
      <c r="K464" t="n">
        <v>0</v>
      </c>
      <c r="L464" t="n">
        <v>0</v>
      </c>
      <c r="M464" t="n">
        <v>0</v>
      </c>
      <c r="N464" t="n">
        <v>0</v>
      </c>
      <c r="O464" t="n">
        <v>0</v>
      </c>
      <c r="P464" t="n">
        <v>0</v>
      </c>
      <c r="Q464" t="n">
        <v>0</v>
      </c>
      <c r="R464" t="n">
        <v>0</v>
      </c>
      <c r="S464" t="n">
        <v>0</v>
      </c>
      <c r="T464" t="n">
        <v>0</v>
      </c>
      <c r="U464" s="2" t="inlineStr"/>
    </row>
    <row r="465" ht="15" customHeight="1">
      <c r="A465" t="inlineStr">
        <is>
          <t>A 40297-2023</t>
        </is>
      </c>
      <c r="B465" t="inlineStr">
        <is>
          <t>avverkningsanmälan</t>
        </is>
      </c>
      <c r="C465" t="inlineStr">
        <is>
          <t>Föryngringsavverkning</t>
        </is>
      </c>
      <c r="D465" s="1" t="n">
        <v>45169</v>
      </c>
      <c r="E465" s="1" t="n">
        <v>46216</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32953-2022</t>
        </is>
      </c>
      <c r="B466" t="inlineStr">
        <is>
          <t>avverkningsanmälan</t>
        </is>
      </c>
      <c r="C466" t="inlineStr">
        <is>
          <t>Föryngringsavverkning</t>
        </is>
      </c>
      <c r="D466" s="1" t="n">
        <v>44784</v>
      </c>
      <c r="E466" s="1" t="n">
        <v>46216</v>
      </c>
      <c r="F466" t="inlineStr">
        <is>
          <t>ÖSTERGÖTLANDS LÄN</t>
        </is>
      </c>
      <c r="G466" t="inlineStr">
        <is>
          <t>ÅTVIDABERG</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60217-2023</t>
        </is>
      </c>
      <c r="B467" t="inlineStr">
        <is>
          <t>avverkningsanmälan</t>
        </is>
      </c>
      <c r="C467" t="inlineStr">
        <is>
          <t>Föryngringsavverkning</t>
        </is>
      </c>
      <c r="D467" s="1" t="n">
        <v>45258</v>
      </c>
      <c r="E467" s="1" t="n">
        <v>46216</v>
      </c>
      <c r="F467" t="inlineStr">
        <is>
          <t>ÖSTERGÖTLANDS LÄN</t>
        </is>
      </c>
      <c r="G467" t="inlineStr">
        <is>
          <t>ÅTVIDABERG</t>
        </is>
      </c>
      <c r="H467" t="inlineStr">
        <is>
          <t>Holmen skog AB</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12822-2024</t>
        </is>
      </c>
      <c r="B468" t="inlineStr">
        <is>
          <t>avverkningsanmälan</t>
        </is>
      </c>
      <c r="C468" t="inlineStr">
        <is>
          <t>Föryngringsavverkning</t>
        </is>
      </c>
      <c r="D468" s="1" t="n">
        <v>45384</v>
      </c>
      <c r="E468" s="1" t="n">
        <v>46216</v>
      </c>
      <c r="F468" t="inlineStr">
        <is>
          <t>ÖSTERGÖTLANDS LÄN</t>
        </is>
      </c>
      <c r="G468" t="inlineStr">
        <is>
          <t>ÅTVIDABERG</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23929-2026</t>
        </is>
      </c>
      <c r="B469" t="inlineStr">
        <is>
          <t>avverkningsanmälan</t>
        </is>
      </c>
      <c r="C469" t="inlineStr">
        <is>
          <t>Avverkning för annat ändamål</t>
        </is>
      </c>
      <c r="D469" s="1" t="n">
        <v>46167</v>
      </c>
      <c r="E469" s="1" t="n">
        <v>46216</v>
      </c>
      <c r="F469" t="inlineStr">
        <is>
          <t>ÖSTERGÖTLANDS LÄN</t>
        </is>
      </c>
      <c r="G469" t="inlineStr">
        <is>
          <t>ÅTVIDABERG</t>
        </is>
      </c>
      <c r="I469" t="n">
        <v>0.3</v>
      </c>
      <c r="J469" t="n">
        <v>0</v>
      </c>
      <c r="K469" t="n">
        <v>0</v>
      </c>
      <c r="L469" t="n">
        <v>0</v>
      </c>
      <c r="M469" t="n">
        <v>0</v>
      </c>
      <c r="N469" t="n">
        <v>0</v>
      </c>
      <c r="O469" t="n">
        <v>0</v>
      </c>
      <c r="P469" t="n">
        <v>0</v>
      </c>
      <c r="Q469" t="n">
        <v>0</v>
      </c>
      <c r="R469" t="n">
        <v>0</v>
      </c>
      <c r="S469" t="n">
        <v>0</v>
      </c>
      <c r="T469" t="n">
        <v>0</v>
      </c>
      <c r="U469" s="2" t="inlineStr"/>
    </row>
    <row r="470" ht="15" customHeight="1">
      <c r="A470" t="inlineStr">
        <is>
          <t>A 18724-2025</t>
        </is>
      </c>
      <c r="B470" t="inlineStr">
        <is>
          <t>avverkningsanmälan</t>
        </is>
      </c>
      <c r="C470" t="inlineStr">
        <is>
          <t>Föryngringsavverkning</t>
        </is>
      </c>
      <c r="D470" s="1" t="n">
        <v>45763</v>
      </c>
      <c r="E470" s="1" t="n">
        <v>46216</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18005-2023</t>
        </is>
      </c>
      <c r="B471" t="inlineStr">
        <is>
          <t>avverkningsanmälan</t>
        </is>
      </c>
      <c r="C471" t="inlineStr">
        <is>
          <t>Föryngringsavverkning</t>
        </is>
      </c>
      <c r="D471" s="1" t="n">
        <v>45040</v>
      </c>
      <c r="E471" s="1" t="n">
        <v>46216</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30179-2026</t>
        </is>
      </c>
      <c r="B472" t="inlineStr">
        <is>
          <t>avverkningsanmälan</t>
        </is>
      </c>
      <c r="C472" t="inlineStr">
        <is>
          <t>Föryngringsavverkning</t>
        </is>
      </c>
      <c r="D472" s="1" t="n">
        <v>46206</v>
      </c>
      <c r="E472" s="1" t="n">
        <v>46216</v>
      </c>
      <c r="F472" t="inlineStr">
        <is>
          <t>ÖSTERGÖTLANDS LÄN</t>
        </is>
      </c>
      <c r="G472" t="inlineStr">
        <is>
          <t>ÅTVIDABERG</t>
        </is>
      </c>
      <c r="H472" t="inlineStr">
        <is>
          <t>Övriga statliga verk och myndigheter</t>
        </is>
      </c>
      <c r="I472" t="n">
        <v>2.7</v>
      </c>
      <c r="J472" t="n">
        <v>0</v>
      </c>
      <c r="K472" t="n">
        <v>0</v>
      </c>
      <c r="L472" t="n">
        <v>0</v>
      </c>
      <c r="M472" t="n">
        <v>0</v>
      </c>
      <c r="N472" t="n">
        <v>0</v>
      </c>
      <c r="O472" t="n">
        <v>0</v>
      </c>
      <c r="P472" t="n">
        <v>0</v>
      </c>
      <c r="Q472" t="n">
        <v>0</v>
      </c>
      <c r="R472" t="n">
        <v>0</v>
      </c>
      <c r="S472" t="n">
        <v>0</v>
      </c>
      <c r="T472" t="n">
        <v>0</v>
      </c>
      <c r="U472" s="2" t="inlineStr"/>
    </row>
    <row r="473" ht="15" customHeight="1">
      <c r="A473" t="inlineStr">
        <is>
          <t>A 5663-2022</t>
        </is>
      </c>
      <c r="B473" t="inlineStr">
        <is>
          <t>avverkningsanmälan</t>
        </is>
      </c>
      <c r="C473" t="inlineStr">
        <is>
          <t>Föryngringsavverkning</t>
        </is>
      </c>
      <c r="D473" s="1" t="n">
        <v>44596</v>
      </c>
      <c r="E473" s="1" t="n">
        <v>46216</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s="2" t="inlineStr"/>
    </row>
    <row r="474" ht="15" customHeight="1">
      <c r="A474" t="inlineStr">
        <is>
          <t>A 396-2024</t>
        </is>
      </c>
      <c r="B474" t="inlineStr">
        <is>
          <t>avverkningsanmälan</t>
        </is>
      </c>
      <c r="C474" t="inlineStr">
        <is>
          <t>Föryngringsavverkning</t>
        </is>
      </c>
      <c r="D474" s="1" t="n">
        <v>45296</v>
      </c>
      <c r="E474" s="1" t="n">
        <v>46216</v>
      </c>
      <c r="F474" t="inlineStr">
        <is>
          <t>ÖSTERGÖTLANDS LÄN</t>
        </is>
      </c>
      <c r="G474" t="inlineStr">
        <is>
          <t>ÅTVIDABERG</t>
        </is>
      </c>
      <c r="I474" t="n">
        <v>6.1</v>
      </c>
      <c r="J474" t="n">
        <v>0</v>
      </c>
      <c r="K474" t="n">
        <v>0</v>
      </c>
      <c r="L474" t="n">
        <v>0</v>
      </c>
      <c r="M474" t="n">
        <v>0</v>
      </c>
      <c r="N474" t="n">
        <v>0</v>
      </c>
      <c r="O474" t="n">
        <v>0</v>
      </c>
      <c r="P474" t="n">
        <v>0</v>
      </c>
      <c r="Q474" t="n">
        <v>0</v>
      </c>
      <c r="R474" t="n">
        <v>0</v>
      </c>
      <c r="S474" t="n">
        <v>0</v>
      </c>
      <c r="T474" t="n">
        <v>0</v>
      </c>
      <c r="U474" s="2" t="inlineStr"/>
    </row>
    <row r="475" ht="15" customHeight="1">
      <c r="A475" t="inlineStr">
        <is>
          <t>A 10302-2025</t>
        </is>
      </c>
      <c r="B475" t="inlineStr">
        <is>
          <t>avverkningsanmälan</t>
        </is>
      </c>
      <c r="C475" t="inlineStr">
        <is>
          <t>Föryngringsavverkning</t>
        </is>
      </c>
      <c r="D475" s="1" t="n">
        <v>45720</v>
      </c>
      <c r="E475" s="1" t="n">
        <v>46216</v>
      </c>
      <c r="F475" t="inlineStr">
        <is>
          <t>ÖSTERGÖTLANDS LÄN</t>
        </is>
      </c>
      <c r="G475" t="inlineStr">
        <is>
          <t>ÅTVIDABERG</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2032-2024</t>
        </is>
      </c>
      <c r="B476" t="inlineStr">
        <is>
          <t>avverkningsanmälan</t>
        </is>
      </c>
      <c r="C476" t="inlineStr">
        <is>
          <t>Föryngringsavverkning</t>
        </is>
      </c>
      <c r="D476" s="1" t="n">
        <v>45308</v>
      </c>
      <c r="E476" s="1" t="n">
        <v>46216</v>
      </c>
      <c r="F476" t="inlineStr">
        <is>
          <t>ÖSTERGÖTLANDS LÄN</t>
        </is>
      </c>
      <c r="G476" t="inlineStr">
        <is>
          <t>ÅTVIDABERG</t>
        </is>
      </c>
      <c r="I476" t="n">
        <v>2.9</v>
      </c>
      <c r="J476" t="n">
        <v>0</v>
      </c>
      <c r="K476" t="n">
        <v>0</v>
      </c>
      <c r="L476" t="n">
        <v>0</v>
      </c>
      <c r="M476" t="n">
        <v>0</v>
      </c>
      <c r="N476" t="n">
        <v>0</v>
      </c>
      <c r="O476" t="n">
        <v>0</v>
      </c>
      <c r="P476" t="n">
        <v>0</v>
      </c>
      <c r="Q476" t="n">
        <v>0</v>
      </c>
      <c r="R476" t="n">
        <v>0</v>
      </c>
      <c r="S476" t="n">
        <v>0</v>
      </c>
      <c r="T476" t="n">
        <v>0</v>
      </c>
      <c r="U476" s="2" t="inlineStr"/>
    </row>
    <row r="477" ht="15" customHeight="1">
      <c r="A477" t="inlineStr">
        <is>
          <t>A 58564-2022</t>
        </is>
      </c>
      <c r="B477" t="inlineStr">
        <is>
          <t>avverkningsanmälan</t>
        </is>
      </c>
      <c r="C477" t="inlineStr">
        <is>
          <t>Föryngringsavverkning</t>
        </is>
      </c>
      <c r="D477" s="1" t="n">
        <v>44902</v>
      </c>
      <c r="E477" s="1" t="n">
        <v>46216</v>
      </c>
      <c r="F477" t="inlineStr">
        <is>
          <t>ÖSTERGÖTLANDS LÄN</t>
        </is>
      </c>
      <c r="G477" t="inlineStr">
        <is>
          <t>ÅTVIDABERG</t>
        </is>
      </c>
      <c r="I477" t="n">
        <v>2.2</v>
      </c>
      <c r="J477" t="n">
        <v>0</v>
      </c>
      <c r="K477" t="n">
        <v>0</v>
      </c>
      <c r="L477" t="n">
        <v>0</v>
      </c>
      <c r="M477" t="n">
        <v>0</v>
      </c>
      <c r="N477" t="n">
        <v>0</v>
      </c>
      <c r="O477" t="n">
        <v>0</v>
      </c>
      <c r="P477" t="n">
        <v>0</v>
      </c>
      <c r="Q477" t="n">
        <v>0</v>
      </c>
      <c r="R477" t="n">
        <v>0</v>
      </c>
      <c r="S477" t="n">
        <v>0</v>
      </c>
      <c r="T477" t="n">
        <v>0</v>
      </c>
      <c r="U477" s="2" t="inlineStr"/>
    </row>
    <row r="478" ht="15" customHeight="1">
      <c r="A478" t="inlineStr">
        <is>
          <t>A 34366-2024</t>
        </is>
      </c>
      <c r="B478" t="inlineStr">
        <is>
          <t>avverkningsanmälan</t>
        </is>
      </c>
      <c r="C478" t="inlineStr">
        <is>
          <t>Föryngringsavverkning</t>
        </is>
      </c>
      <c r="D478" s="1" t="n">
        <v>45525</v>
      </c>
      <c r="E478" s="1" t="n">
        <v>46216</v>
      </c>
      <c r="F478" t="inlineStr">
        <is>
          <t>ÖSTERGÖTLANDS LÄN</t>
        </is>
      </c>
      <c r="G478" t="inlineStr">
        <is>
          <t>ÅTVIDABERG</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9524-2025</t>
        </is>
      </c>
      <c r="B479" t="inlineStr">
        <is>
          <t>avverkningsanmälan</t>
        </is>
      </c>
      <c r="C479" t="inlineStr">
        <is>
          <t>Avverkning för annat ändamål</t>
        </is>
      </c>
      <c r="D479" s="1" t="n">
        <v>45715</v>
      </c>
      <c r="E479" s="1" t="n">
        <v>46216</v>
      </c>
      <c r="F479" t="inlineStr">
        <is>
          <t>ÖSTERGÖTLANDS LÄN</t>
        </is>
      </c>
      <c r="G479" t="inlineStr">
        <is>
          <t>ÅTVIDABERG</t>
        </is>
      </c>
      <c r="H479" t="inlineStr">
        <is>
          <t>Kommuner</t>
        </is>
      </c>
      <c r="I479" t="n">
        <v>4.3</v>
      </c>
      <c r="J479" t="n">
        <v>0</v>
      </c>
      <c r="K479" t="n">
        <v>0</v>
      </c>
      <c r="L479" t="n">
        <v>0</v>
      </c>
      <c r="M479" t="n">
        <v>0</v>
      </c>
      <c r="N479" t="n">
        <v>0</v>
      </c>
      <c r="O479" t="n">
        <v>0</v>
      </c>
      <c r="P479" t="n">
        <v>0</v>
      </c>
      <c r="Q479" t="n">
        <v>0</v>
      </c>
      <c r="R479" t="n">
        <v>0</v>
      </c>
      <c r="S479" t="n">
        <v>0</v>
      </c>
      <c r="T479" t="n">
        <v>0</v>
      </c>
      <c r="U479" s="2" t="inlineStr"/>
    </row>
    <row r="480" ht="15" customHeight="1">
      <c r="A480" t="inlineStr">
        <is>
          <t>A 39930-2023</t>
        </is>
      </c>
      <c r="B480" t="inlineStr">
        <is>
          <t>avverkningsanmälan</t>
        </is>
      </c>
      <c r="C480" t="inlineStr">
        <is>
          <t>Föryngringsavverkning</t>
        </is>
      </c>
      <c r="D480" s="1" t="n">
        <v>45168</v>
      </c>
      <c r="E480" s="1" t="n">
        <v>46216</v>
      </c>
      <c r="F480" t="inlineStr">
        <is>
          <t>ÖSTERGÖTLANDS LÄN</t>
        </is>
      </c>
      <c r="G480" t="inlineStr">
        <is>
          <t>ÅTVIDABERG</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36621-2023</t>
        </is>
      </c>
      <c r="B481" t="inlineStr">
        <is>
          <t>avverkningsanmälan</t>
        </is>
      </c>
      <c r="C481" t="inlineStr">
        <is>
          <t>Föryngringsavverkning</t>
        </is>
      </c>
      <c r="D481" s="1" t="n">
        <v>45153</v>
      </c>
      <c r="E481" s="1" t="n">
        <v>46216</v>
      </c>
      <c r="F481" t="inlineStr">
        <is>
          <t>ÖSTERGÖTLANDS LÄN</t>
        </is>
      </c>
      <c r="G481" t="inlineStr">
        <is>
          <t>ÅTVIDABERG</t>
        </is>
      </c>
      <c r="I481" t="n">
        <v>3.9</v>
      </c>
      <c r="J481" t="n">
        <v>0</v>
      </c>
      <c r="K481" t="n">
        <v>0</v>
      </c>
      <c r="L481" t="n">
        <v>0</v>
      </c>
      <c r="M481" t="n">
        <v>0</v>
      </c>
      <c r="N481" t="n">
        <v>0</v>
      </c>
      <c r="O481" t="n">
        <v>0</v>
      </c>
      <c r="P481" t="n">
        <v>0</v>
      </c>
      <c r="Q481" t="n">
        <v>0</v>
      </c>
      <c r="R481" t="n">
        <v>0</v>
      </c>
      <c r="S481" t="n">
        <v>0</v>
      </c>
      <c r="T481" t="n">
        <v>0</v>
      </c>
      <c r="U481" s="2" t="inlineStr"/>
    </row>
    <row r="482" ht="15" customHeight="1">
      <c r="A482" t="inlineStr">
        <is>
          <t>A 42382-2023</t>
        </is>
      </c>
      <c r="B482" t="inlineStr">
        <is>
          <t>avverkningsanmälan</t>
        </is>
      </c>
      <c r="C482" t="inlineStr">
        <is>
          <t>Föryngringsavverkning</t>
        </is>
      </c>
      <c r="D482" s="1" t="n">
        <v>45180</v>
      </c>
      <c r="E482" s="1" t="n">
        <v>46216</v>
      </c>
      <c r="F482" t="inlineStr">
        <is>
          <t>ÖSTERGÖTLANDS LÄN</t>
        </is>
      </c>
      <c r="G482" t="inlineStr">
        <is>
          <t>ÅTVIDABERG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43083-2023</t>
        </is>
      </c>
      <c r="B483" t="inlineStr">
        <is>
          <t>avverkningsanmälan</t>
        </is>
      </c>
      <c r="C483" t="inlineStr">
        <is>
          <t>Föryngringsavverkning</t>
        </is>
      </c>
      <c r="D483" s="1" t="n">
        <v>45182</v>
      </c>
      <c r="E483" s="1" t="n">
        <v>46216</v>
      </c>
      <c r="F483" t="inlineStr">
        <is>
          <t>ÖSTERGÖTLANDS LÄN</t>
        </is>
      </c>
      <c r="G483" t="inlineStr">
        <is>
          <t>ÅTVIDABERG</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24767-2026</t>
        </is>
      </c>
      <c r="B484" t="inlineStr">
        <is>
          <t>avverkningsanmälan</t>
        </is>
      </c>
      <c r="C484" t="inlineStr">
        <is>
          <t>Avverkning för annat ändamål</t>
        </is>
      </c>
      <c r="D484" s="1" t="n">
        <v>46171</v>
      </c>
      <c r="E484" s="1" t="n">
        <v>46216</v>
      </c>
      <c r="F484" t="inlineStr">
        <is>
          <t>ÖSTERGÖTLANDS LÄN</t>
        </is>
      </c>
      <c r="G484" t="inlineStr">
        <is>
          <t>ÅTVIDABERG</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3144-2022</t>
        </is>
      </c>
      <c r="B485" t="inlineStr">
        <is>
          <t>avverkningsanmälan</t>
        </is>
      </c>
      <c r="C485" t="inlineStr">
        <is>
          <t>Föryngringsavverkning</t>
        </is>
      </c>
      <c r="D485" s="1" t="n">
        <v>44582</v>
      </c>
      <c r="E485" s="1" t="n">
        <v>46216</v>
      </c>
      <c r="F485" t="inlineStr">
        <is>
          <t>ÖSTERGÖTLANDS LÄN</t>
        </is>
      </c>
      <c r="G485" t="inlineStr">
        <is>
          <t>ÅTVIDABERG</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17430-2024</t>
        </is>
      </c>
      <c r="B486" t="inlineStr">
        <is>
          <t>avverkningsanmälan</t>
        </is>
      </c>
      <c r="C486" t="inlineStr">
        <is>
          <t>Föryngringsavverkning</t>
        </is>
      </c>
      <c r="D486" s="1" t="n">
        <v>45415</v>
      </c>
      <c r="E486" s="1" t="n">
        <v>46216</v>
      </c>
      <c r="F486" t="inlineStr">
        <is>
          <t>ÖSTERGÖTLANDS LÄN</t>
        </is>
      </c>
      <c r="G486" t="inlineStr">
        <is>
          <t>ÅTVIDABERG</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72597-2021</t>
        </is>
      </c>
      <c r="B487" t="inlineStr">
        <is>
          <t>avverkningsanmälan</t>
        </is>
      </c>
      <c r="C487" t="inlineStr">
        <is>
          <t>Föryngringsavverkning</t>
        </is>
      </c>
      <c r="D487" s="1" t="n">
        <v>44546</v>
      </c>
      <c r="E487" s="1" t="n">
        <v>46216</v>
      </c>
      <c r="F487" t="inlineStr">
        <is>
          <t>ÖSTERGÖTLANDS LÄN</t>
        </is>
      </c>
      <c r="G487" t="inlineStr">
        <is>
          <t>ÅTVIDABERG</t>
        </is>
      </c>
      <c r="H487" t="inlineStr">
        <is>
          <t>Holmen skog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61182-2022</t>
        </is>
      </c>
      <c r="B488" t="inlineStr">
        <is>
          <t>avverkningsanmälan</t>
        </is>
      </c>
      <c r="C488" t="inlineStr">
        <is>
          <t>Föryngringsavverkning</t>
        </is>
      </c>
      <c r="D488" s="1" t="n">
        <v>44915</v>
      </c>
      <c r="E488" s="1" t="n">
        <v>46216</v>
      </c>
      <c r="F488" t="inlineStr">
        <is>
          <t>ÖSTERGÖTLANDS LÄN</t>
        </is>
      </c>
      <c r="G488" t="inlineStr">
        <is>
          <t>ÅTVIDABERG</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399-2024</t>
        </is>
      </c>
      <c r="B489" t="inlineStr">
        <is>
          <t>avverkningsanmälan</t>
        </is>
      </c>
      <c r="C489" t="inlineStr">
        <is>
          <t>Föryngringsavverkning</t>
        </is>
      </c>
      <c r="D489" s="1" t="n">
        <v>45296</v>
      </c>
      <c r="E489" s="1" t="n">
        <v>46216</v>
      </c>
      <c r="F489" t="inlineStr">
        <is>
          <t>ÖSTERGÖTLANDS LÄN</t>
        </is>
      </c>
      <c r="G489" t="inlineStr">
        <is>
          <t>ÅTVIDABERG</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61624-2023</t>
        </is>
      </c>
      <c r="B490" t="inlineStr">
        <is>
          <t>avverkningsanmälan</t>
        </is>
      </c>
      <c r="C490" t="inlineStr">
        <is>
          <t>Föryngringsavverkning</t>
        </is>
      </c>
      <c r="D490" s="1" t="n">
        <v>45261</v>
      </c>
      <c r="E490" s="1" t="n">
        <v>46216</v>
      </c>
      <c r="F490" t="inlineStr">
        <is>
          <t>ÖSTERGÖTLANDS LÄN</t>
        </is>
      </c>
      <c r="G490" t="inlineStr">
        <is>
          <t>ÅTVIDABERG</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14774-2022</t>
        </is>
      </c>
      <c r="B491" t="inlineStr">
        <is>
          <t>avverkningsanmälan</t>
        </is>
      </c>
      <c r="C491" t="inlineStr">
        <is>
          <t>Föryngringsavverkning</t>
        </is>
      </c>
      <c r="D491" s="1" t="n">
        <v>44656</v>
      </c>
      <c r="E491" s="1" t="n">
        <v>46216</v>
      </c>
      <c r="F491" t="inlineStr">
        <is>
          <t>ÖSTERGÖTLANDS LÄN</t>
        </is>
      </c>
      <c r="G491" t="inlineStr">
        <is>
          <t>ÅTVIDABERG</t>
        </is>
      </c>
      <c r="I491" t="n">
        <v>4.3</v>
      </c>
      <c r="J491" t="n">
        <v>0</v>
      </c>
      <c r="K491" t="n">
        <v>0</v>
      </c>
      <c r="L491" t="n">
        <v>0</v>
      </c>
      <c r="M491" t="n">
        <v>0</v>
      </c>
      <c r="N491" t="n">
        <v>0</v>
      </c>
      <c r="O491" t="n">
        <v>0</v>
      </c>
      <c r="P491" t="n">
        <v>0</v>
      </c>
      <c r="Q491" t="n">
        <v>0</v>
      </c>
      <c r="R491" t="n">
        <v>0</v>
      </c>
      <c r="S491" t="n">
        <v>0</v>
      </c>
      <c r="T491" t="n">
        <v>0</v>
      </c>
      <c r="U491" s="2" t="inlineStr"/>
    </row>
    <row r="492" ht="15" customHeight="1">
      <c r="A492" t="inlineStr">
        <is>
          <t>A 7892-2025</t>
        </is>
      </c>
      <c r="B492" t="inlineStr">
        <is>
          <t>avverkningsanmälan</t>
        </is>
      </c>
      <c r="C492" t="inlineStr">
        <is>
          <t>Föryngringsavverkning</t>
        </is>
      </c>
      <c r="D492" s="1" t="n">
        <v>45707</v>
      </c>
      <c r="E492" s="1" t="n">
        <v>46216</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21839-2025</t>
        </is>
      </c>
      <c r="B493" t="inlineStr">
        <is>
          <t>avverkningsanmälan</t>
        </is>
      </c>
      <c r="C493" t="inlineStr">
        <is>
          <t>Föryngringsavverkning</t>
        </is>
      </c>
      <c r="D493" s="1" t="n">
        <v>45784</v>
      </c>
      <c r="E493" s="1" t="n">
        <v>46216</v>
      </c>
      <c r="F493" t="inlineStr">
        <is>
          <t>ÖSTERGÖTLANDS LÄN</t>
        </is>
      </c>
      <c r="G493" t="inlineStr">
        <is>
          <t>ÅTVIDABERG</t>
        </is>
      </c>
      <c r="I493" t="n">
        <v>3</v>
      </c>
      <c r="J493" t="n">
        <v>0</v>
      </c>
      <c r="K493" t="n">
        <v>0</v>
      </c>
      <c r="L493" t="n">
        <v>0</v>
      </c>
      <c r="M493" t="n">
        <v>0</v>
      </c>
      <c r="N493" t="n">
        <v>0</v>
      </c>
      <c r="O493" t="n">
        <v>0</v>
      </c>
      <c r="P493" t="n">
        <v>0</v>
      </c>
      <c r="Q493" t="n">
        <v>0</v>
      </c>
      <c r="R493" t="n">
        <v>0</v>
      </c>
      <c r="S493" t="n">
        <v>0</v>
      </c>
      <c r="T493" t="n">
        <v>0</v>
      </c>
      <c r="U493" s="2" t="inlineStr"/>
    </row>
    <row r="494" ht="15" customHeight="1">
      <c r="A494" t="inlineStr">
        <is>
          <t>A 23991-2025</t>
        </is>
      </c>
      <c r="B494" t="inlineStr">
        <is>
          <t>avverkningsanmälan</t>
        </is>
      </c>
      <c r="C494" t="inlineStr">
        <is>
          <t>Föryngringsavverkning</t>
        </is>
      </c>
      <c r="D494" s="1" t="n">
        <v>45796</v>
      </c>
      <c r="E494" s="1" t="n">
        <v>46216</v>
      </c>
      <c r="F494" t="inlineStr">
        <is>
          <t>ÖSTERGÖTLANDS LÄN</t>
        </is>
      </c>
      <c r="G494" t="inlineStr">
        <is>
          <t>ÅTVIDABERG</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2026-2024</t>
        </is>
      </c>
      <c r="B495" t="inlineStr">
        <is>
          <t>avverkningsanmälan</t>
        </is>
      </c>
      <c r="C495" t="inlineStr">
        <is>
          <t>Föryngringsavverkning</t>
        </is>
      </c>
      <c r="D495" s="1" t="n">
        <v>45308</v>
      </c>
      <c r="E495" s="1" t="n">
        <v>46216</v>
      </c>
      <c r="F495" t="inlineStr">
        <is>
          <t>ÖSTERGÖTLANDS LÄN</t>
        </is>
      </c>
      <c r="G495" t="inlineStr">
        <is>
          <t>ÅTVIDABERG</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1871-2025</t>
        </is>
      </c>
      <c r="B496" t="inlineStr">
        <is>
          <t>avverkningsanmälan</t>
        </is>
      </c>
      <c r="C496" t="inlineStr">
        <is>
          <t>Föryngringsavverkning</t>
        </is>
      </c>
      <c r="D496" s="1" t="n">
        <v>45671</v>
      </c>
      <c r="E496" s="1" t="n">
        <v>46216</v>
      </c>
      <c r="F496" t="inlineStr">
        <is>
          <t>ÖSTERGÖTLANDS LÄN</t>
        </is>
      </c>
      <c r="G496" t="inlineStr">
        <is>
          <t>ÅTVIDABERG</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S 96-2021</t>
        </is>
      </c>
      <c r="B497" t="inlineStr">
        <is>
          <t>samrådsanmälan</t>
        </is>
      </c>
      <c r="C497" t="inlineStr">
        <is>
          <t>Åtgärd i nyckelbiotop</t>
        </is>
      </c>
      <c r="D497" s="1" t="n">
        <v>44223</v>
      </c>
      <c r="E497" s="1" t="n">
        <v>46216</v>
      </c>
      <c r="F497" t="inlineStr">
        <is>
          <t>ÖSTERGÖTLANDS LÄN</t>
        </is>
      </c>
      <c r="G497" t="inlineStr">
        <is>
          <t>ÅTVIDABERG</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S 6140-2022</t>
        </is>
      </c>
      <c r="B498" t="inlineStr">
        <is>
          <t>samrådsanmälan</t>
        </is>
      </c>
      <c r="C498" t="inlineStr">
        <is>
          <t>Annan skogsbruksåtgärd</t>
        </is>
      </c>
      <c r="D498" s="1" t="n">
        <v>44865</v>
      </c>
      <c r="E498" s="1" t="n">
        <v>46216</v>
      </c>
      <c r="F498" t="inlineStr">
        <is>
          <t>ÖSTERGÖTLANDS LÄN</t>
        </is>
      </c>
      <c r="G498" t="inlineStr">
        <is>
          <t>ÅTVIDABERG</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S 1021-2025</t>
        </is>
      </c>
      <c r="B499" t="inlineStr">
        <is>
          <t>samrådsanmälan</t>
        </is>
      </c>
      <c r="C499" t="inlineStr">
        <is>
          <t>Annan skogsbruksåtgärd</t>
        </is>
      </c>
      <c r="D499" s="1" t="n">
        <v>45747</v>
      </c>
      <c r="E499" s="1" t="n">
        <v>46216</v>
      </c>
      <c r="F499" t="inlineStr">
        <is>
          <t>ÖSTERGÖTLANDS LÄN</t>
        </is>
      </c>
      <c r="G499" t="inlineStr">
        <is>
          <t>ÅTVIDABERG</t>
        </is>
      </c>
      <c r="H499" t="inlineStr">
        <is>
          <t>Sveaskog</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S 2353-2025</t>
        </is>
      </c>
      <c r="B500" t="inlineStr">
        <is>
          <t>samrådsanmälan</t>
        </is>
      </c>
      <c r="C500" t="inlineStr">
        <is>
          <t>Annan skogsbruksåtgärd</t>
        </is>
      </c>
      <c r="D500" s="1" t="n">
        <v>45888</v>
      </c>
      <c r="E500" s="1" t="n">
        <v>46216</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S 2354-2025</t>
        </is>
      </c>
      <c r="B501" t="inlineStr">
        <is>
          <t>samrådsanmälan</t>
        </is>
      </c>
      <c r="C501" t="inlineStr">
        <is>
          <t>Annan skogsbruksåtgärd</t>
        </is>
      </c>
      <c r="D501" s="1" t="n">
        <v>45888</v>
      </c>
      <c r="E501" s="1" t="n">
        <v>46216</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S 3523-2025</t>
        </is>
      </c>
      <c r="B502" t="inlineStr">
        <is>
          <t>samrådsanmälan</t>
        </is>
      </c>
      <c r="C502" t="inlineStr">
        <is>
          <t>Annan skogsbruksåtgärd</t>
        </is>
      </c>
      <c r="D502" s="1" t="n">
        <v>46008</v>
      </c>
      <c r="E502" s="1" t="n">
        <v>46216</v>
      </c>
      <c r="F502" t="inlineStr">
        <is>
          <t>ÖSTERGÖTLANDS LÄN</t>
        </is>
      </c>
      <c r="G502" t="inlineStr">
        <is>
          <t>ÅTVIDABERG</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S 1102-2026</t>
        </is>
      </c>
      <c r="B503" t="inlineStr">
        <is>
          <t>samrådsanmälan</t>
        </is>
      </c>
      <c r="C503" t="inlineStr">
        <is>
          <t>Annan skogsbruksåtgärd</t>
        </is>
      </c>
      <c r="D503" s="1" t="n">
        <v>46132</v>
      </c>
      <c r="E503" s="1" t="n">
        <v>46216</v>
      </c>
      <c r="F503" t="inlineStr">
        <is>
          <t>ÖSTERGÖTLANDS LÄN</t>
        </is>
      </c>
      <c r="G503" t="inlineStr">
        <is>
          <t>ÅTVIDABERG</t>
        </is>
      </c>
      <c r="I503" t="n">
        <v>0.4</v>
      </c>
      <c r="J503" t="n">
        <v>0</v>
      </c>
      <c r="K503" t="n">
        <v>0</v>
      </c>
      <c r="L503" t="n">
        <v>0</v>
      </c>
      <c r="M503" t="n">
        <v>0</v>
      </c>
      <c r="N503" t="n">
        <v>0</v>
      </c>
      <c r="O503" t="n">
        <v>0</v>
      </c>
      <c r="P503" t="n">
        <v>0</v>
      </c>
      <c r="Q503" t="n">
        <v>0</v>
      </c>
      <c r="R503" t="n">
        <v>0</v>
      </c>
      <c r="S503" t="n">
        <v>0</v>
      </c>
      <c r="T503" t="n">
        <v>0</v>
      </c>
      <c r="U503" s="2" t="inlineStr"/>
    </row>
    <row r="504">
      <c r="A504" t="inlineStr">
        <is>
          <t>S 1628-2026</t>
        </is>
      </c>
      <c r="B504" t="inlineStr">
        <is>
          <t>samrådsanmälan</t>
        </is>
      </c>
      <c r="C504" t="inlineStr">
        <is>
          <t>Annan skogsbruksåtgärd</t>
        </is>
      </c>
      <c r="D504" s="1" t="n">
        <v>46177</v>
      </c>
      <c r="E504" s="1" t="n">
        <v>46216</v>
      </c>
      <c r="F504" t="inlineStr">
        <is>
          <t>ÖSTERGÖTLANDS LÄN</t>
        </is>
      </c>
      <c r="G504" t="inlineStr">
        <is>
          <t>ÅTVIDABERG</t>
        </is>
      </c>
      <c r="I504" t="n">
        <v>0</v>
      </c>
      <c r="J504" t="n">
        <v>0</v>
      </c>
      <c r="K504" t="n">
        <v>0</v>
      </c>
      <c r="L504" t="n">
        <v>0</v>
      </c>
      <c r="M504" t="n">
        <v>0</v>
      </c>
      <c r="N504" t="n">
        <v>0</v>
      </c>
      <c r="O504" t="n">
        <v>0</v>
      </c>
      <c r="P504" t="n">
        <v>0</v>
      </c>
      <c r="Q504" t="n">
        <v>0</v>
      </c>
      <c r="R504" t="n">
        <v>0</v>
      </c>
      <c r="S504" t="n">
        <v>0</v>
      </c>
      <c r="T504" t="n">
        <v>0</v>
      </c>
      <c r="U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2026-07-13T14:51:13Z</dcterms:created>
  <dcterms:modified xmlns:dcterms="http://purl.org/dc/terms/" xmlns:xsi="http://www.w3.org/2001/XMLSchema-instance" xsi:type="dcterms:W3CDTF">2026-07-13T14:51:14Z</dcterms:modified>
</cp:coreProperties>
</file>