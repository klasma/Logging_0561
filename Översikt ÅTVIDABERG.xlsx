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45749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45749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45749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45749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3380-2023</t>
        </is>
      </c>
      <c r="B6" s="1" t="n">
        <v>44949</v>
      </c>
      <c r="C6" s="1" t="n">
        <v>45749</v>
      </c>
      <c r="D6" t="inlineStr">
        <is>
          <t>ÖSTERGÖTLANDS LÄN</t>
        </is>
      </c>
      <c r="E6" t="inlineStr">
        <is>
          <t>ÅTVIDABERG</t>
        </is>
      </c>
      <c r="G6" t="n">
        <v>1.9</v>
      </c>
      <c r="H6" t="n">
        <v>5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Järpe
Spillkråka
Talltita
Blåmossa
Revlummer</t>
        </is>
      </c>
      <c r="S6">
        <f>HYPERLINK("https://klasma.github.io/Logging_0561/artfynd/A 3380-2023 artfynd.xlsx", "A 3380-2023")</f>
        <v/>
      </c>
      <c r="T6">
        <f>HYPERLINK("https://klasma.github.io/Logging_0561/kartor/A 3380-2023 karta.png", "A 3380-2023")</f>
        <v/>
      </c>
      <c r="U6">
        <f>HYPERLINK("https://klasma.github.io/Logging_0561/knärot/A 3380-2023 karta knärot.png", "A 3380-2023")</f>
        <v/>
      </c>
      <c r="V6">
        <f>HYPERLINK("https://klasma.github.io/Logging_0561/klagomål/A 3380-2023 FSC-klagomål.docx", "A 3380-2023")</f>
        <v/>
      </c>
      <c r="W6">
        <f>HYPERLINK("https://klasma.github.io/Logging_0561/klagomålsmail/A 3380-2023 FSC-klagomål mail.docx", "A 3380-2023")</f>
        <v/>
      </c>
      <c r="X6">
        <f>HYPERLINK("https://klasma.github.io/Logging_0561/tillsyn/A 3380-2023 tillsynsbegäran.docx", "A 3380-2023")</f>
        <v/>
      </c>
      <c r="Y6">
        <f>HYPERLINK("https://klasma.github.io/Logging_0561/tillsynsmail/A 3380-2023 tillsynsbegäran mail.docx", "A 3380-2023")</f>
        <v/>
      </c>
      <c r="Z6">
        <f>HYPERLINK("https://klasma.github.io/Logging_0561/fåglar/A 3380-2023 prioriterade fågelarter.docx", "A 3380-2023")</f>
        <v/>
      </c>
    </row>
    <row r="7" ht="15" customHeight="1">
      <c r="A7" t="inlineStr">
        <is>
          <t>A 50496-2021</t>
        </is>
      </c>
      <c r="B7" s="1" t="n">
        <v>44458</v>
      </c>
      <c r="C7" s="1" t="n">
        <v>45749</v>
      </c>
      <c r="D7" t="inlineStr">
        <is>
          <t>ÖSTERGÖTLANDS LÄN</t>
        </is>
      </c>
      <c r="E7" t="inlineStr">
        <is>
          <t>ÅTVIDABERG</t>
        </is>
      </c>
      <c r="G7" t="n">
        <v>1.7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Skogstrappmossa
Tallticka
Ullticka
Tjockfotad fingersvamp
Blåsippa</t>
        </is>
      </c>
      <c r="S7">
        <f>HYPERLINK("https://klasma.github.io/Logging_0561/artfynd/A 50496-2021 artfynd.xlsx", "A 50496-2021")</f>
        <v/>
      </c>
      <c r="T7">
        <f>HYPERLINK("https://klasma.github.io/Logging_0561/kartor/A 50496-2021 karta.png", "A 50496-2021")</f>
        <v/>
      </c>
      <c r="V7">
        <f>HYPERLINK("https://klasma.github.io/Logging_0561/klagomål/A 50496-2021 FSC-klagomål.docx", "A 50496-2021")</f>
        <v/>
      </c>
      <c r="W7">
        <f>HYPERLINK("https://klasma.github.io/Logging_0561/klagomålsmail/A 50496-2021 FSC-klagomål mail.docx", "A 50496-2021")</f>
        <v/>
      </c>
      <c r="X7">
        <f>HYPERLINK("https://klasma.github.io/Logging_0561/tillsyn/A 50496-2021 tillsynsbegäran.docx", "A 50496-2021")</f>
        <v/>
      </c>
      <c r="Y7">
        <f>HYPERLINK("https://klasma.github.io/Logging_0561/tillsynsmail/A 50496-2021 tillsynsbegäran mail.docx", "A 50496-2021")</f>
        <v/>
      </c>
    </row>
    <row r="8" ht="15" customHeight="1">
      <c r="A8" t="inlineStr">
        <is>
          <t>A 50852-2021</t>
        </is>
      </c>
      <c r="B8" s="1" t="n">
        <v>44459</v>
      </c>
      <c r="C8" s="1" t="n">
        <v>45749</v>
      </c>
      <c r="D8" t="inlineStr">
        <is>
          <t>ÖSTERGÖTLANDS LÄN</t>
        </is>
      </c>
      <c r="E8" t="inlineStr">
        <is>
          <t>ÅTVIDABERG</t>
        </is>
      </c>
      <c r="G8" t="n">
        <v>5.9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Dvärgbägarlav
Vedskivlav
Vippärt
Blanksvart trämyra
Granbarkgnagare</t>
        </is>
      </c>
      <c r="S8">
        <f>HYPERLINK("https://klasma.github.io/Logging_0561/artfynd/A 50852-2021 artfynd.xlsx", "A 50852-2021")</f>
        <v/>
      </c>
      <c r="T8">
        <f>HYPERLINK("https://klasma.github.io/Logging_0561/kartor/A 50852-2021 karta.png", "A 50852-2021")</f>
        <v/>
      </c>
      <c r="V8">
        <f>HYPERLINK("https://klasma.github.io/Logging_0561/klagomål/A 50852-2021 FSC-klagomål.docx", "A 50852-2021")</f>
        <v/>
      </c>
      <c r="W8">
        <f>HYPERLINK("https://klasma.github.io/Logging_0561/klagomålsmail/A 50852-2021 FSC-klagomål mail.docx", "A 50852-2021")</f>
        <v/>
      </c>
      <c r="X8">
        <f>HYPERLINK("https://klasma.github.io/Logging_0561/tillsyn/A 50852-2021 tillsynsbegäran.docx", "A 50852-2021")</f>
        <v/>
      </c>
      <c r="Y8">
        <f>HYPERLINK("https://klasma.github.io/Logging_0561/tillsynsmail/A 50852-2021 tillsynsbegäran mail.docx", "A 50852-2021")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45749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37222-2023</t>
        </is>
      </c>
      <c r="B10" s="1" t="n">
        <v>45155</v>
      </c>
      <c r="C10" s="1" t="n">
        <v>45749</v>
      </c>
      <c r="D10" t="inlineStr">
        <is>
          <t>ÖSTERGÖTLANDS LÄN</t>
        </is>
      </c>
      <c r="E10" t="inlineStr">
        <is>
          <t>ÅTVIDABERG</t>
        </is>
      </c>
      <c r="G10" t="n">
        <v>0.3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Bronshjon</t>
        </is>
      </c>
      <c r="S10">
        <f>HYPERLINK("https://klasma.github.io/Logging_0561/artfynd/A 37222-2023 artfynd.xlsx", "A 37222-2023")</f>
        <v/>
      </c>
      <c r="T10">
        <f>HYPERLINK("https://klasma.github.io/Logging_0561/kartor/A 37222-2023 karta.png", "A 37222-2023")</f>
        <v/>
      </c>
      <c r="U10">
        <f>HYPERLINK("https://klasma.github.io/Logging_0561/knärot/A 37222-2023 karta knärot.png", "A 37222-2023")</f>
        <v/>
      </c>
      <c r="V10">
        <f>HYPERLINK("https://klasma.github.io/Logging_0561/klagomål/A 37222-2023 FSC-klagomål.docx", "A 37222-2023")</f>
        <v/>
      </c>
      <c r="W10">
        <f>HYPERLINK("https://klasma.github.io/Logging_0561/klagomålsmail/A 37222-2023 FSC-klagomål mail.docx", "A 37222-2023")</f>
        <v/>
      </c>
      <c r="X10">
        <f>HYPERLINK("https://klasma.github.io/Logging_0561/tillsyn/A 37222-2023 tillsynsbegäran.docx", "A 37222-2023")</f>
        <v/>
      </c>
      <c r="Y10">
        <f>HYPERLINK("https://klasma.github.io/Logging_0561/tillsynsmail/A 37222-2023 tillsynsbegäran mail.docx", "A 37222-2023")</f>
        <v/>
      </c>
      <c r="Z10">
        <f>HYPERLINK("https://klasma.github.io/Logging_0561/fåglar/A 37222-2023 prioriterade fågelarter.docx", "A 37222-2023")</f>
        <v/>
      </c>
    </row>
    <row r="11" ht="15" customHeight="1">
      <c r="A11" t="inlineStr">
        <is>
          <t>A 58169-2023</t>
        </is>
      </c>
      <c r="B11" s="1" t="n">
        <v>45250</v>
      </c>
      <c r="C11" s="1" t="n">
        <v>45749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Sveaskog</t>
        </is>
      </c>
      <c r="G11" t="n">
        <v>1.3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Dvärgbägarlav
Spillkråka
Tallticka
Talltita
Vedskivlav</t>
        </is>
      </c>
      <c r="S11">
        <f>HYPERLINK("https://klasma.github.io/Logging_0561/artfynd/A 58169-2023 artfynd.xlsx", "A 58169-2023")</f>
        <v/>
      </c>
      <c r="T11">
        <f>HYPERLINK("https://klasma.github.io/Logging_0561/kartor/A 58169-2023 karta.png", "A 58169-2023")</f>
        <v/>
      </c>
      <c r="V11">
        <f>HYPERLINK("https://klasma.github.io/Logging_0561/klagomål/A 58169-2023 FSC-klagomål.docx", "A 58169-2023")</f>
        <v/>
      </c>
      <c r="W11">
        <f>HYPERLINK("https://klasma.github.io/Logging_0561/klagomålsmail/A 58169-2023 FSC-klagomål mail.docx", "A 58169-2023")</f>
        <v/>
      </c>
      <c r="X11">
        <f>HYPERLINK("https://klasma.github.io/Logging_0561/tillsyn/A 58169-2023 tillsynsbegäran.docx", "A 58169-2023")</f>
        <v/>
      </c>
      <c r="Y11">
        <f>HYPERLINK("https://klasma.github.io/Logging_0561/tillsynsmail/A 58169-2023 tillsynsbegäran mail.docx", "A 58169-2023")</f>
        <v/>
      </c>
      <c r="Z11">
        <f>HYPERLINK("https://klasma.github.io/Logging_0561/fåglar/A 58169-2023 prioriterade fågelarter.docx", "A 58169-2023")</f>
        <v/>
      </c>
    </row>
    <row r="12" ht="15" customHeight="1">
      <c r="A12" t="inlineStr">
        <is>
          <t>A 2034-2024</t>
        </is>
      </c>
      <c r="B12" s="1" t="n">
        <v>45308</v>
      </c>
      <c r="C12" s="1" t="n">
        <v>45749</v>
      </c>
      <c r="D12" t="inlineStr">
        <is>
          <t>ÖSTERGÖTLANDS LÄN</t>
        </is>
      </c>
      <c r="E12" t="inlineStr">
        <is>
          <t>ÅTVIDABERG</t>
        </is>
      </c>
      <c r="G12" t="n">
        <v>2.5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Dvärgbägarlav
Reliktbock
Spillkråka
Vedskivlav
Tjäder</t>
        </is>
      </c>
      <c r="S12">
        <f>HYPERLINK("https://klasma.github.io/Logging_0561/artfynd/A 2034-2024 artfynd.xlsx", "A 2034-2024")</f>
        <v/>
      </c>
      <c r="T12">
        <f>HYPERLINK("https://klasma.github.io/Logging_0561/kartor/A 2034-2024 karta.png", "A 2034-2024")</f>
        <v/>
      </c>
      <c r="V12">
        <f>HYPERLINK("https://klasma.github.io/Logging_0561/klagomål/A 2034-2024 FSC-klagomål.docx", "A 2034-2024")</f>
        <v/>
      </c>
      <c r="W12">
        <f>HYPERLINK("https://klasma.github.io/Logging_0561/klagomålsmail/A 2034-2024 FSC-klagomål mail.docx", "A 2034-2024")</f>
        <v/>
      </c>
      <c r="X12">
        <f>HYPERLINK("https://klasma.github.io/Logging_0561/tillsyn/A 2034-2024 tillsynsbegäran.docx", "A 2034-2024")</f>
        <v/>
      </c>
      <c r="Y12">
        <f>HYPERLINK("https://klasma.github.io/Logging_0561/tillsynsmail/A 2034-2024 tillsynsbegäran mail.docx", "A 2034-2024")</f>
        <v/>
      </c>
      <c r="Z12">
        <f>HYPERLINK("https://klasma.github.io/Logging_0561/fåglar/A 2034-2024 prioriterade fågelarter.docx", "A 2034-2024")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45749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45749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45749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45749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45749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45749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45749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45749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45749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45749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45749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45749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45749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45749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45749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45749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45749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45749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45749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45749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45749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45749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45749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45749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45749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45749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45749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45749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45749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45749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45749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45749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45749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45749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45749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45749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45749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45749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45749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45749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45749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45749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45749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45749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45749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45749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45749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45749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45749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45749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45749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45749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45749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45749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45749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45749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45749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45749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45749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HYPERLINK("https://klasma.github.io/Logging_050561/artfynd/A 11544-2025 artfynd.xlsx", "A 11544-2025")</f>
        <v/>
      </c>
      <c r="T71">
        <f>HYPERLINK("https://klasma.github.io/Logging_050561/kartor/A 11544-2025 karta.png", "A 11544-2025")</f>
        <v/>
      </c>
      <c r="V71">
        <f>HYPERLINK("https://klasma.github.io/Logging_050561/klagomål/A 11544-2025 FSC-klagomål.docx", "A 11544-2025")</f>
        <v/>
      </c>
      <c r="W71">
        <f>HYPERLINK("https://klasma.github.io/Logging_050561/klagomålsmail/A 11544-2025 FSC-klagomål mail.docx", "A 11544-2025")</f>
        <v/>
      </c>
      <c r="X71">
        <f>HYPERLINK("https://klasma.github.io/Logging_050561/tillsyn/A 11544-2025 tillsynsbegäran.docx", "A 11544-2025")</f>
        <v/>
      </c>
      <c r="Y71">
        <f>HYPERLINK("https://klasma.github.io/Logging_050561/tillsynsmail/A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45749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45749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45749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45749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45749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45749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45749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45749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45749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45749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45749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45749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45749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45749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45749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45749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45749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45749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45749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45749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45749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45749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45749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45749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45749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45749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45749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45749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45749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45749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45749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45749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45749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45749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45749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45749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45749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45749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45749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45749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45749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45749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45749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45749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45749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45749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45749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45749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45749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45749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45749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45749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45749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45749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45749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45749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45749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45749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45749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45749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45749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45749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45749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45749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45749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45749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45749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45749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45749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45749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45749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45749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45749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45749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45749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45749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45749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45749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45749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45749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45749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45749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45749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45749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45749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45749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45749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45749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45749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45749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45749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45749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45749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45749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45749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45749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45749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45749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45749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45749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45749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45749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45749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45749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45749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45749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45749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45749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45749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45749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45749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45749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45749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45749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45749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45749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45749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45749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45749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45749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45749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45749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45749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45749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45749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45749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45749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45749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45749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45749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45749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45749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45749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45749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45749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45749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45749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45749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45749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45749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45749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45749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45749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45749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45749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45749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45749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45749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45749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45749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45749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45749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45749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45749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45749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45749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45749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45749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45749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45749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45749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45749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45749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45749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45749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45749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45749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45749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45749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45749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45749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45749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45749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45749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45749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45749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45749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45749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45749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45749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45749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45749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45749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45749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45749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45749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45749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45749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45749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45749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45749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45749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45749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45749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45749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45749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45749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45749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45749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45749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45749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45749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45749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45749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45749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45749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45749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45749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45749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45749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45749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45749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45749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45749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45749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45749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45749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45749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45749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45749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45749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45749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45749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45749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45749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45749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45749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45749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45749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45749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45749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45749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45749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45749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45749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45749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45749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45749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45749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45749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45749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45749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45749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45749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45749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45749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45749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45749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45749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45749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45749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45749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45749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45749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45749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45749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45749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45749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45749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45749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45749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45749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45749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45749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45749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45749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45749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45749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45749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45749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45749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45749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45749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45749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45749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45749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45749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45749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45749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45749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45749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45749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45749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45749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45749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45749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45749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45749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45749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45749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45749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45749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45749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45749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45749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45749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45749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45749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45749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45749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45749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45749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45749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45749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45749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45749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45749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45749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45749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45749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45749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45749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45749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45749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45749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45749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45749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45749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45749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45749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45749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45749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45749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45749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45749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45749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45749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45749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45749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45749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45749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45749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45749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45749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45749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45749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45749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45749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45749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45749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45749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45749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45749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45749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45749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45749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45749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45749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45749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45749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45749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45749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45749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45749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45749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45749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45749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45749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45749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45749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45749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45749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45749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45749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45749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45749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45749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45749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45749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45749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45749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45749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45749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45749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45749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45749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45749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45749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45749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45749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45749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45749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45749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45749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45749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45749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45749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45749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45749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45749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45749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45749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45749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45749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45749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45749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45749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45749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45749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45749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45749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45749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45749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45749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45749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45749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45749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45749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45749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45749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45749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45749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45749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45749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45749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45749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45749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45749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45749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45749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45749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45749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45749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45749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45749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45749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45749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45749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45749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45749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45749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45749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45749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45749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45749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45749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45749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45749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45749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45749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45749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45749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45749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45749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45749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45749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45749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45749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45749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45749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45749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45749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45749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45749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45749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45749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45749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45749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45749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45749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45749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45749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45749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45749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45749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45749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45749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45749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45749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45749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45749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45749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45749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45749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45749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45749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45749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45749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45749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45749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45749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45749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45749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45749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45749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45749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45749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45749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45749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45749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45749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45749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45749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45749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45749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45749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45749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45749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45749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45749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45749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45749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45749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45749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45749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45749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45749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45749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45749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45749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45749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45749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45749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45749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45749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45749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45749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45749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45749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45749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45749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45749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45749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45749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45749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45749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45749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45749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45749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45749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45749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45749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45749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45749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45749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45749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45749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45749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45749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45749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45749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45749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45749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45749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45749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45749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45749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45749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45749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45749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45749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45749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45749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45749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45749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45749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45749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45749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45749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45749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45749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45749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45749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45749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45749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45749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45749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45749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45749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45749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45749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45749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45749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45749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45749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45749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45749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45749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45749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45749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45749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45749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45749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45749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45749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45749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45749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45749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45749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45749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45749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45749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45749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45749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45749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45749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45749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45749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45749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45749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45749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45749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45749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45749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45749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45749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45749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45749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45749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45749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45749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45749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45749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45749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45749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45749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45749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45749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45749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45749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45749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45749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45749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45749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45749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45749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45749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45749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45749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45749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45749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45749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45749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45749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45749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45749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45749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45749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45749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45749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45749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45749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45749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45749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45749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45749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45749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45749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45749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45749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45749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45749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45749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45749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45749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45749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45749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45749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45749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45749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45749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45749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45749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45749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45749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45749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45749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45749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45749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45749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45749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45749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45749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45749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45749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45749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45749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45749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45749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45749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45749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45749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45749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45749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45749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45749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45749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45749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45749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45749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45749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45749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45749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45749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45749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45749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45749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45749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45749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45749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45749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45749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45749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45749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45749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45749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45749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45749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45749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45749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45749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45749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45749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45749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45749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45749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45749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45749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45749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45749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45749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45749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45749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45749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45749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45749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45749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45749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45749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45749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45749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45749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45749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45749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45749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45749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45749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45749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45749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45749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45749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45749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45749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45749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45749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45749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45749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45749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45749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45749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45749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45749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45749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45749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45749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45749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45749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45749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45749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45749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45749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45749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45749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45749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45749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45749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45749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45749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45749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45749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45749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45749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45749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45749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45749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45749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45749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45749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45749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45749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45749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45749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45749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45749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45749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45749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45749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45749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45749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45749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45749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45749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45749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45749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45749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45749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45749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45749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45749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45749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45749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45749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45749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45749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45749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45749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45749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45749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45749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45749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45749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45749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45749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45749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45749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45749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45749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45749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45749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45749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45749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45749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45749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45749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45749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45749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45749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45749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45749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45749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45749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45749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45749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45749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45749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45749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45749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45749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45749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45749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45749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45749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45749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45749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45749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45749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7891-2025</t>
        </is>
      </c>
      <c r="B918" s="1" t="n">
        <v>45707</v>
      </c>
      <c r="C918" s="1" t="n">
        <v>45749</v>
      </c>
      <c r="D918" t="inlineStr">
        <is>
          <t>ÖSTERGÖTLANDS LÄN</t>
        </is>
      </c>
      <c r="E918" t="inlineStr">
        <is>
          <t>ÅTVIDABERG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7893-2025</t>
        </is>
      </c>
      <c r="B919" s="1" t="n">
        <v>45707</v>
      </c>
      <c r="C919" s="1" t="n">
        <v>45749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9114-2025</t>
        </is>
      </c>
      <c r="B920" s="1" t="n">
        <v>45713</v>
      </c>
      <c r="C920" s="1" t="n">
        <v>45749</v>
      </c>
      <c r="D920" t="inlineStr">
        <is>
          <t>ÖSTERGÖTLANDS LÄN</t>
        </is>
      </c>
      <c r="E920" t="inlineStr">
        <is>
          <t>ÅTVIDABERG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9111-2025</t>
        </is>
      </c>
      <c r="B921" s="1" t="n">
        <v>45713</v>
      </c>
      <c r="C921" s="1" t="n">
        <v>45749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9115-2025</t>
        </is>
      </c>
      <c r="B922" s="1" t="n">
        <v>45713</v>
      </c>
      <c r="C922" s="1" t="n">
        <v>45749</v>
      </c>
      <c r="D922" t="inlineStr">
        <is>
          <t>ÖSTERGÖTLANDS LÄN</t>
        </is>
      </c>
      <c r="E922" t="inlineStr">
        <is>
          <t>ÅTVIDABERG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9119-2025</t>
        </is>
      </c>
      <c r="B923" s="1" t="n">
        <v>45713</v>
      </c>
      <c r="C923" s="1" t="n">
        <v>45749</v>
      </c>
      <c r="D923" t="inlineStr">
        <is>
          <t>ÖSTERGÖTLANDS LÄN</t>
        </is>
      </c>
      <c r="E923" t="inlineStr">
        <is>
          <t>ÅTVIDABERG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9112-2025</t>
        </is>
      </c>
      <c r="B924" s="1" t="n">
        <v>45713</v>
      </c>
      <c r="C924" s="1" t="n">
        <v>45749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9116-2025</t>
        </is>
      </c>
      <c r="B925" s="1" t="n">
        <v>45713</v>
      </c>
      <c r="C925" s="1" t="n">
        <v>45749</v>
      </c>
      <c r="D925" t="inlineStr">
        <is>
          <t>ÖSTERGÖTLANDS LÄN</t>
        </is>
      </c>
      <c r="E925" t="inlineStr">
        <is>
          <t>ÅTVIDABERG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9097-2025</t>
        </is>
      </c>
      <c r="B926" s="1" t="n">
        <v>45713</v>
      </c>
      <c r="C926" s="1" t="n">
        <v>45749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45749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45749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10302-2025</t>
        </is>
      </c>
      <c r="B929" s="1" t="n">
        <v>45720</v>
      </c>
      <c r="C929" s="1" t="n">
        <v>45749</v>
      </c>
      <c r="D929" t="inlineStr">
        <is>
          <t>ÖSTERGÖTLANDS LÄN</t>
        </is>
      </c>
      <c r="E929" t="inlineStr">
        <is>
          <t>ÅTVIDABERG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45749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45749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11680-2025</t>
        </is>
      </c>
      <c r="B932" s="1" t="n">
        <v>45727</v>
      </c>
      <c r="C932" s="1" t="n">
        <v>45749</v>
      </c>
      <c r="D932" t="inlineStr">
        <is>
          <t>ÖSTERGÖTLANDS LÄN</t>
        </is>
      </c>
      <c r="E932" t="inlineStr">
        <is>
          <t>ÅTVIDABERG</t>
        </is>
      </c>
      <c r="F932" t="inlineStr">
        <is>
          <t>Övriga Aktiebolag</t>
        </is>
      </c>
      <c r="G932" t="n">
        <v>9.800000000000001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11592-2025</t>
        </is>
      </c>
      <c r="B933" s="1" t="n">
        <v>45727</v>
      </c>
      <c r="C933" s="1" t="n">
        <v>45749</v>
      </c>
      <c r="D933" t="inlineStr">
        <is>
          <t>ÖSTERGÖTLANDS LÄN</t>
        </is>
      </c>
      <c r="E933" t="inlineStr">
        <is>
          <t>ÅTVIDABERG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11567-2025</t>
        </is>
      </c>
      <c r="B934" s="1" t="n">
        <v>45727</v>
      </c>
      <c r="C934" s="1" t="n">
        <v>45749</v>
      </c>
      <c r="D934" t="inlineStr">
        <is>
          <t>ÖSTERGÖTLANDS LÄN</t>
        </is>
      </c>
      <c r="E934" t="inlineStr">
        <is>
          <t>ÅTVIDABERG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11531-2025</t>
        </is>
      </c>
      <c r="B935" s="1" t="n">
        <v>45727</v>
      </c>
      <c r="C935" s="1" t="n">
        <v>45749</v>
      </c>
      <c r="D935" t="inlineStr">
        <is>
          <t>ÖSTERGÖTLANDS LÄN</t>
        </is>
      </c>
      <c r="E935" t="inlineStr">
        <is>
          <t>ÅTVIDABERG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11596-2025</t>
        </is>
      </c>
      <c r="B936" s="1" t="n">
        <v>45727</v>
      </c>
      <c r="C936" s="1" t="n">
        <v>45749</v>
      </c>
      <c r="D936" t="inlineStr">
        <is>
          <t>ÖSTERGÖTLANDS LÄN</t>
        </is>
      </c>
      <c r="E936" t="inlineStr">
        <is>
          <t>ÅTVIDABERG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11532-2025</t>
        </is>
      </c>
      <c r="B937" s="1" t="n">
        <v>45727</v>
      </c>
      <c r="C937" s="1" t="n">
        <v>45749</v>
      </c>
      <c r="D937" t="inlineStr">
        <is>
          <t>ÖSTERGÖTLANDS LÄN</t>
        </is>
      </c>
      <c r="E937" t="inlineStr">
        <is>
          <t>ÅTVIDABERG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45749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45749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13109-2025</t>
        </is>
      </c>
      <c r="B940" s="1" t="n">
        <v>45734</v>
      </c>
      <c r="C940" s="1" t="n">
        <v>45749</v>
      </c>
      <c r="D940" t="inlineStr">
        <is>
          <t>ÖSTERGÖTLANDS LÄN</t>
        </is>
      </c>
      <c r="E940" t="inlineStr">
        <is>
          <t>ÅTVIDABERG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13078-2025</t>
        </is>
      </c>
      <c r="B941" s="1" t="n">
        <v>45734</v>
      </c>
      <c r="C941" s="1" t="n">
        <v>45749</v>
      </c>
      <c r="D941" t="inlineStr">
        <is>
          <t>ÖSTERGÖTLANDS LÄN</t>
        </is>
      </c>
      <c r="E941" t="inlineStr">
        <is>
          <t>ÅTVIDABERG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13574-2025</t>
        </is>
      </c>
      <c r="B942" s="1" t="n">
        <v>45736</v>
      </c>
      <c r="C942" s="1" t="n">
        <v>45749</v>
      </c>
      <c r="D942" t="inlineStr">
        <is>
          <t>ÖSTERGÖTLANDS LÄN</t>
        </is>
      </c>
      <c r="E942" t="inlineStr">
        <is>
          <t>ÅTVIDABERG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13591-2025</t>
        </is>
      </c>
      <c r="B943" s="1" t="n">
        <v>45736</v>
      </c>
      <c r="C943" s="1" t="n">
        <v>45749</v>
      </c>
      <c r="D943" t="inlineStr">
        <is>
          <t>ÖSTERGÖTLANDS LÄN</t>
        </is>
      </c>
      <c r="E943" t="inlineStr">
        <is>
          <t>ÅTVIDABERG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13583-2025</t>
        </is>
      </c>
      <c r="B944" s="1" t="n">
        <v>45736</v>
      </c>
      <c r="C944" s="1" t="n">
        <v>45749</v>
      </c>
      <c r="D944" t="inlineStr">
        <is>
          <t>ÖSTERGÖTLANDS LÄN</t>
        </is>
      </c>
      <c r="E944" t="inlineStr">
        <is>
          <t>ÅTVIDABERG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14183-2025</t>
        </is>
      </c>
      <c r="B945" s="1" t="n">
        <v>45740</v>
      </c>
      <c r="C945" s="1" t="n">
        <v>45749</v>
      </c>
      <c r="D945" t="inlineStr">
        <is>
          <t>ÖSTERGÖTLANDS LÄN</t>
        </is>
      </c>
      <c r="E945" t="inlineStr">
        <is>
          <t>ÅTVIDABERG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14180-2025</t>
        </is>
      </c>
      <c r="B946" s="1" t="n">
        <v>45740</v>
      </c>
      <c r="C946" s="1" t="n">
        <v>45749</v>
      </c>
      <c r="D946" t="inlineStr">
        <is>
          <t>ÖSTERGÖTLANDS LÄN</t>
        </is>
      </c>
      <c r="E946" t="inlineStr">
        <is>
          <t>ÅTVIDABERG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14178-2025</t>
        </is>
      </c>
      <c r="B947" s="1" t="n">
        <v>45740</v>
      </c>
      <c r="C947" s="1" t="n">
        <v>45749</v>
      </c>
      <c r="D947" t="inlineStr">
        <is>
          <t>ÖSTERGÖTLANDS LÄN</t>
        </is>
      </c>
      <c r="E947" t="inlineStr">
        <is>
          <t>ÅTVIDABERG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14179-2025</t>
        </is>
      </c>
      <c r="B948" s="1" t="n">
        <v>45740</v>
      </c>
      <c r="C948" s="1" t="n">
        <v>45749</v>
      </c>
      <c r="D948" t="inlineStr">
        <is>
          <t>ÖSTERGÖTLANDS LÄN</t>
        </is>
      </c>
      <c r="E948" t="inlineStr">
        <is>
          <t>ÅTVIDABERG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14186-2025</t>
        </is>
      </c>
      <c r="B949" s="1" t="n">
        <v>45740</v>
      </c>
      <c r="C949" s="1" t="n">
        <v>45749</v>
      </c>
      <c r="D949" t="inlineStr">
        <is>
          <t>ÖSTERGÖTLANDS LÄN</t>
        </is>
      </c>
      <c r="E949" t="inlineStr">
        <is>
          <t>ÅTVIDABERG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45749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14463-2025</t>
        </is>
      </c>
      <c r="B951" s="1" t="n">
        <v>45741</v>
      </c>
      <c r="C951" s="1" t="n">
        <v>45749</v>
      </c>
      <c r="D951" t="inlineStr">
        <is>
          <t>ÖSTERGÖTLANDS LÄN</t>
        </is>
      </c>
      <c r="E951" t="inlineStr">
        <is>
          <t>ÅTVIDABERG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15538-2025</t>
        </is>
      </c>
      <c r="B952" s="1" t="n">
        <v>45747</v>
      </c>
      <c r="C952" s="1" t="n">
        <v>45749</v>
      </c>
      <c r="D952" t="inlineStr">
        <is>
          <t>ÖSTERGÖTLANDS LÄN</t>
        </is>
      </c>
      <c r="E952" t="inlineStr">
        <is>
          <t>ÅTVIDABERG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15450-2025</t>
        </is>
      </c>
      <c r="B953" s="1" t="n">
        <v>45747</v>
      </c>
      <c r="C953" s="1" t="n">
        <v>45749</v>
      </c>
      <c r="D953" t="inlineStr">
        <is>
          <t>ÖSTERGÖTLANDS LÄN</t>
        </is>
      </c>
      <c r="E953" t="inlineStr">
        <is>
          <t>ÅTVIDABERG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2025-04-02T17:04:14Z</dcterms:created>
  <dcterms:modified xmlns:dcterms="http://purl.org/dc/terms/" xmlns:xsi="http://www.w3.org/2001/XMLSchema-instance" xsi:type="dcterms:W3CDTF">2025-04-02T17:04:15Z</dcterms:modified>
</cp:coreProperties>
</file>