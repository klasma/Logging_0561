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45708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45708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45708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45708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45708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45708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45708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45708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45708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45708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45708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45708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45708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45708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45708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45708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45708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45708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45708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45708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45708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9382-2021</t>
        </is>
      </c>
      <c r="B23" s="1" t="n">
        <v>44250</v>
      </c>
      <c r="C23" s="1" t="n">
        <v>45708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HYPERLINK("https://klasma.github.io/Logging_0561/artfynd/A 9382-2021 artfynd.xlsx", "A 9382-2021")</f>
        <v/>
      </c>
      <c r="T23">
        <f>HYPERLINK("https://klasma.github.io/Logging_0561/kartor/A 9382-2021 karta.png", "A 9382-2021")</f>
        <v/>
      </c>
      <c r="U23">
        <f>HYPERLINK("https://klasma.github.io/Logging_0561/knärot/A 9382-2021 karta knärot.png", "A 9382-2021")</f>
        <v/>
      </c>
      <c r="V23">
        <f>HYPERLINK("https://klasma.github.io/Logging_0561/klagomål/A 9382-2021 FSC-klagomål.docx", "A 9382-2021")</f>
        <v/>
      </c>
      <c r="W23">
        <f>HYPERLINK("https://klasma.github.io/Logging_0561/klagomålsmail/A 9382-2021 FSC-klagomål mail.docx", "A 9382-2021")</f>
        <v/>
      </c>
      <c r="X23">
        <f>HYPERLINK("https://klasma.github.io/Logging_0561/tillsyn/A 9382-2021 tillsynsbegäran.docx", "A 9382-2021")</f>
        <v/>
      </c>
      <c r="Y23">
        <f>HYPERLINK("https://klasma.github.io/Logging_0561/tillsynsmail/A 9382-2021 tillsynsbegäran mail.docx", "A 9382-2021")</f>
        <v/>
      </c>
    </row>
    <row r="24" ht="15" customHeight="1">
      <c r="A24" t="inlineStr">
        <is>
          <t>A 11501-2022</t>
        </is>
      </c>
      <c r="B24" s="1" t="n">
        <v>44631</v>
      </c>
      <c r="C24" s="1" t="n">
        <v>45708</v>
      </c>
      <c r="D24" t="inlineStr">
        <is>
          <t>ÖSTERGÖTLANDS LÄN</t>
        </is>
      </c>
      <c r="E24" t="inlineStr">
        <is>
          <t>ÅTVIDABERG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Dvärghäxört
Springkorn</t>
        </is>
      </c>
      <c r="S24">
        <f>HYPERLINK("https://klasma.github.io/Logging_0561/artfynd/A 11501-2022 artfynd.xlsx", "A 11501-2022")</f>
        <v/>
      </c>
      <c r="T24">
        <f>HYPERLINK("https://klasma.github.io/Logging_0561/kartor/A 11501-2022 karta.png", "A 11501-2022")</f>
        <v/>
      </c>
      <c r="V24">
        <f>HYPERLINK("https://klasma.github.io/Logging_0561/klagomål/A 11501-2022 FSC-klagomål.docx", "A 11501-2022")</f>
        <v/>
      </c>
      <c r="W24">
        <f>HYPERLINK("https://klasma.github.io/Logging_0561/klagomålsmail/A 11501-2022 FSC-klagomål mail.docx", "A 11501-2022")</f>
        <v/>
      </c>
      <c r="X24">
        <f>HYPERLINK("https://klasma.github.io/Logging_0561/tillsyn/A 11501-2022 tillsynsbegäran.docx", "A 11501-2022")</f>
        <v/>
      </c>
      <c r="Y24">
        <f>HYPERLINK("https://klasma.github.io/Logging_0561/tillsynsmail/A 11501-2022 tillsynsbegäran mail.docx", "A 11501-2022")</f>
        <v/>
      </c>
    </row>
    <row r="25" ht="15" customHeight="1">
      <c r="A25" t="inlineStr">
        <is>
          <t>A 53205-2022</t>
        </is>
      </c>
      <c r="B25" s="1" t="n">
        <v>44874</v>
      </c>
      <c r="C25" s="1" t="n">
        <v>45708</v>
      </c>
      <c r="D25" t="inlineStr">
        <is>
          <t>ÖSTERGÖTLANDS LÄN</t>
        </is>
      </c>
      <c r="E25" t="inlineStr">
        <is>
          <t>ÅTVIDABERG</t>
        </is>
      </c>
      <c r="F25" t="inlineStr">
        <is>
          <t>Övriga Aktiebolag</t>
        </is>
      </c>
      <c r="G25" t="n">
        <v>12.8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Havsörn
Skogsbräsma</t>
        </is>
      </c>
      <c r="S25">
        <f>HYPERLINK("https://klasma.github.io/Logging_0561/artfynd/A 53205-2022 artfynd.xlsx", "A 53205-2022")</f>
        <v/>
      </c>
      <c r="T25">
        <f>HYPERLINK("https://klasma.github.io/Logging_0561/kartor/A 53205-2022 karta.png", "A 53205-2022")</f>
        <v/>
      </c>
      <c r="V25">
        <f>HYPERLINK("https://klasma.github.io/Logging_0561/klagomål/A 53205-2022 FSC-klagomål.docx", "A 53205-2022")</f>
        <v/>
      </c>
      <c r="W25">
        <f>HYPERLINK("https://klasma.github.io/Logging_0561/klagomålsmail/A 53205-2022 FSC-klagomål mail.docx", "A 53205-2022")</f>
        <v/>
      </c>
      <c r="X25">
        <f>HYPERLINK("https://klasma.github.io/Logging_0561/tillsyn/A 53205-2022 tillsynsbegäran.docx", "A 53205-2022")</f>
        <v/>
      </c>
      <c r="Y25">
        <f>HYPERLINK("https://klasma.github.io/Logging_0561/tillsynsmail/A 53205-2022 tillsynsbegäran mail.docx", "A 53205-2022")</f>
        <v/>
      </c>
      <c r="Z25">
        <f>HYPERLINK("https://klasma.github.io/Logging_0561/fåglar/A 53205-2022 prioriterade fågelarter.docx", "A 53205-2022")</f>
        <v/>
      </c>
    </row>
    <row r="26" ht="15" customHeight="1">
      <c r="A26" t="inlineStr">
        <is>
          <t>A 33570-2023</t>
        </is>
      </c>
      <c r="B26" s="1" t="n">
        <v>45131</v>
      </c>
      <c r="C26" s="1" t="n">
        <v>45708</v>
      </c>
      <c r="D26" t="inlineStr">
        <is>
          <t>ÖSTERGÖTLANDS LÄN</t>
        </is>
      </c>
      <c r="E26" t="inlineStr">
        <is>
          <t>ÅTVIDABERG</t>
        </is>
      </c>
      <c r="G26" t="n">
        <v>10.6</v>
      </c>
      <c r="H26" t="n">
        <v>1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Hypebaeus flavipes
Läderbagge</t>
        </is>
      </c>
      <c r="S26">
        <f>HYPERLINK("https://klasma.github.io/Logging_0561/artfynd/A 33570-2023 artfynd.xlsx", "A 33570-2023")</f>
        <v/>
      </c>
      <c r="T26">
        <f>HYPERLINK("https://klasma.github.io/Logging_0561/kartor/A 33570-2023 karta.png", "A 33570-2023")</f>
        <v/>
      </c>
      <c r="V26">
        <f>HYPERLINK("https://klasma.github.io/Logging_0561/klagomål/A 33570-2023 FSC-klagomål.docx", "A 33570-2023")</f>
        <v/>
      </c>
      <c r="W26">
        <f>HYPERLINK("https://klasma.github.io/Logging_0561/klagomålsmail/A 33570-2023 FSC-klagomål mail.docx", "A 33570-2023")</f>
        <v/>
      </c>
      <c r="X26">
        <f>HYPERLINK("https://klasma.github.io/Logging_0561/tillsyn/A 33570-2023 tillsynsbegäran.docx", "A 33570-2023")</f>
        <v/>
      </c>
      <c r="Y26">
        <f>HYPERLINK("https://klasma.github.io/Logging_0561/tillsynsmail/A 33570-2023 tillsynsbegäran mail.docx", "A 33570-2023")</f>
        <v/>
      </c>
    </row>
    <row r="27" ht="15" customHeight="1">
      <c r="A27" t="inlineStr">
        <is>
          <t>A 17429-2024</t>
        </is>
      </c>
      <c r="B27" s="1" t="n">
        <v>45415</v>
      </c>
      <c r="C27" s="1" t="n">
        <v>45708</v>
      </c>
      <c r="D27" t="inlineStr">
        <is>
          <t>ÖSTERGÖTLANDS LÄN</t>
        </is>
      </c>
      <c r="E27" t="inlineStr">
        <is>
          <t>ÅTVIDABERG</t>
        </is>
      </c>
      <c r="G27" t="n">
        <v>6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Gölgroda
Ätlig groda</t>
        </is>
      </c>
      <c r="S27">
        <f>HYPERLINK("https://klasma.github.io/Logging_0561/artfynd/A 17429-2024 artfynd.xlsx", "A 17429-2024")</f>
        <v/>
      </c>
      <c r="T27">
        <f>HYPERLINK("https://klasma.github.io/Logging_0561/kartor/A 17429-2024 karta.png", "A 17429-2024")</f>
        <v/>
      </c>
      <c r="V27">
        <f>HYPERLINK("https://klasma.github.io/Logging_0561/klagomål/A 17429-2024 FSC-klagomål.docx", "A 17429-2024")</f>
        <v/>
      </c>
      <c r="W27">
        <f>HYPERLINK("https://klasma.github.io/Logging_0561/klagomålsmail/A 17429-2024 FSC-klagomål mail.docx", "A 17429-2024")</f>
        <v/>
      </c>
      <c r="X27">
        <f>HYPERLINK("https://klasma.github.io/Logging_0561/tillsyn/A 17429-2024 tillsynsbegäran.docx", "A 17429-2024")</f>
        <v/>
      </c>
      <c r="Y27">
        <f>HYPERLINK("https://klasma.github.io/Logging_0561/tillsynsmail/A 17429-2024 tillsynsbegäran mail.docx", "A 17429-2024")</f>
        <v/>
      </c>
    </row>
    <row r="28" ht="15" customHeight="1">
      <c r="A28" t="inlineStr">
        <is>
          <t>A 42539-2024</t>
        </is>
      </c>
      <c r="B28" s="1" t="n">
        <v>45565</v>
      </c>
      <c r="C28" s="1" t="n">
        <v>45708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Sveaskog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Vårstarr
Gullviva</t>
        </is>
      </c>
      <c r="S28">
        <f>HYPERLINK("https://klasma.github.io/Logging_0561/artfynd/A 42539-2024 artfynd.xlsx", "A 42539-2024")</f>
        <v/>
      </c>
      <c r="T28">
        <f>HYPERLINK("https://klasma.github.io/Logging_0561/kartor/A 42539-2024 karta.png", "A 42539-2024")</f>
        <v/>
      </c>
      <c r="V28">
        <f>HYPERLINK("https://klasma.github.io/Logging_0561/klagomål/A 42539-2024 FSC-klagomål.docx", "A 42539-2024")</f>
        <v/>
      </c>
      <c r="W28">
        <f>HYPERLINK("https://klasma.github.io/Logging_0561/klagomålsmail/A 42539-2024 FSC-klagomål mail.docx", "A 42539-2024")</f>
        <v/>
      </c>
      <c r="X28">
        <f>HYPERLINK("https://klasma.github.io/Logging_0561/tillsyn/A 42539-2024 tillsynsbegäran.docx", "A 42539-2024")</f>
        <v/>
      </c>
      <c r="Y28">
        <f>HYPERLINK("https://klasma.github.io/Logging_0561/tillsynsmail/A 42539-2024 tillsynsbegäran mail.docx", "A 42539-2024")</f>
        <v/>
      </c>
    </row>
    <row r="29" ht="15" customHeight="1">
      <c r="A29" t="inlineStr">
        <is>
          <t>A 42463-2024</t>
        </is>
      </c>
      <c r="B29" s="1" t="n">
        <v>45565</v>
      </c>
      <c r="C29" s="1" t="n">
        <v>45708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Fällmossa
Blåsippa</t>
        </is>
      </c>
      <c r="S29">
        <f>HYPERLINK("https://klasma.github.io/Logging_0561/artfynd/A 42463-2024 artfynd.xlsx", "A 42463-2024")</f>
        <v/>
      </c>
      <c r="T29">
        <f>HYPERLINK("https://klasma.github.io/Logging_0561/kartor/A 42463-2024 karta.png", "A 42463-2024")</f>
        <v/>
      </c>
      <c r="V29">
        <f>HYPERLINK("https://klasma.github.io/Logging_0561/klagomål/A 42463-2024 FSC-klagomål.docx", "A 42463-2024")</f>
        <v/>
      </c>
      <c r="W29">
        <f>HYPERLINK("https://klasma.github.io/Logging_0561/klagomålsmail/A 42463-2024 FSC-klagomål mail.docx", "A 42463-2024")</f>
        <v/>
      </c>
      <c r="X29">
        <f>HYPERLINK("https://klasma.github.io/Logging_0561/tillsyn/A 42463-2024 tillsynsbegäran.docx", "A 42463-2024")</f>
        <v/>
      </c>
      <c r="Y29">
        <f>HYPERLINK("https://klasma.github.io/Logging_0561/tillsynsmail/A 42463-2024 tillsynsbegäran mail.docx", "A 42463-2024")</f>
        <v/>
      </c>
    </row>
    <row r="30" ht="15" customHeight="1">
      <c r="A30" t="inlineStr">
        <is>
          <t>A 56477-2024</t>
        </is>
      </c>
      <c r="B30" s="1" t="n">
        <v>45625</v>
      </c>
      <c r="C30" s="1" t="n">
        <v>45708</v>
      </c>
      <c r="D30" t="inlineStr">
        <is>
          <t>ÖSTERGÖTLANDS LÄN</t>
        </is>
      </c>
      <c r="E30" t="inlineStr">
        <is>
          <t>ÅTVIDABERG</t>
        </is>
      </c>
      <c r="G30" t="n">
        <v>3.2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Grönsångare
Svartvit flugsnappare</t>
        </is>
      </c>
      <c r="S30">
        <f>HYPERLINK("https://klasma.github.io/Logging_0561/artfynd/A 56477-2024 artfynd.xlsx", "A 56477-2024")</f>
        <v/>
      </c>
      <c r="T30">
        <f>HYPERLINK("https://klasma.github.io/Logging_0561/kartor/A 56477-2024 karta.png", "A 56477-2024")</f>
        <v/>
      </c>
      <c r="V30">
        <f>HYPERLINK("https://klasma.github.io/Logging_0561/klagomål/A 56477-2024 FSC-klagomål.docx", "A 56477-2024")</f>
        <v/>
      </c>
      <c r="W30">
        <f>HYPERLINK("https://klasma.github.io/Logging_0561/klagomålsmail/A 56477-2024 FSC-klagomål mail.docx", "A 56477-2024")</f>
        <v/>
      </c>
      <c r="X30">
        <f>HYPERLINK("https://klasma.github.io/Logging_0561/tillsyn/A 56477-2024 tillsynsbegäran.docx", "A 56477-2024")</f>
        <v/>
      </c>
      <c r="Y30">
        <f>HYPERLINK("https://klasma.github.io/Logging_0561/tillsynsmail/A 56477-2024 tillsynsbegäran mail.docx", "A 56477-2024")</f>
        <v/>
      </c>
      <c r="Z30">
        <f>HYPERLINK("https://klasma.github.io/Logging_0561/fåglar/A 56477-2024 prioriterade fågelarter.docx", "A 56477-2024")</f>
        <v/>
      </c>
    </row>
    <row r="31" ht="15" customHeight="1">
      <c r="A31" t="inlineStr">
        <is>
          <t>A 32282-2019</t>
        </is>
      </c>
      <c r="B31" s="1" t="n">
        <v>43644</v>
      </c>
      <c r="C31" s="1" t="n">
        <v>45708</v>
      </c>
      <c r="D31" t="inlineStr">
        <is>
          <t>ÖSTERGÖTLANDS LÄN</t>
        </is>
      </c>
      <c r="E31" t="inlineStr">
        <is>
          <t>ÅTVIDABERG</t>
        </is>
      </c>
      <c r="G31" t="n">
        <v>0.5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Flagellkvastmossa</t>
        </is>
      </c>
      <c r="S31">
        <f>HYPERLINK("https://klasma.github.io/Logging_0561/artfynd/A 32282-2019 artfynd.xlsx", "A 32282-2019")</f>
        <v/>
      </c>
      <c r="T31">
        <f>HYPERLINK("https://klasma.github.io/Logging_0561/kartor/A 32282-2019 karta.png", "A 32282-2019")</f>
        <v/>
      </c>
      <c r="V31">
        <f>HYPERLINK("https://klasma.github.io/Logging_0561/klagomål/A 32282-2019 FSC-klagomål.docx", "A 32282-2019")</f>
        <v/>
      </c>
      <c r="W31">
        <f>HYPERLINK("https://klasma.github.io/Logging_0561/klagomålsmail/A 32282-2019 FSC-klagomål mail.docx", "A 32282-2019")</f>
        <v/>
      </c>
      <c r="X31">
        <f>HYPERLINK("https://klasma.github.io/Logging_0561/tillsyn/A 32282-2019 tillsynsbegäran.docx", "A 32282-2019")</f>
        <v/>
      </c>
      <c r="Y31">
        <f>HYPERLINK("https://klasma.github.io/Logging_0561/tillsynsmail/A 32282-2019 tillsynsbegäran mail.docx", "A 32282-2019")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45708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45708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45708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45708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45708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45708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45708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45708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45708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45708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45708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45708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45708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45708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45708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45708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45708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45708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45708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45708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45708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45708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45708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45708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45708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45708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45708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45708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45708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45708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45708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45708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45708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45708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45708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45708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45708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45708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45708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45708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45708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45708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45708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45708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45708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45708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45708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45708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45708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45708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45708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45708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45708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45708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45708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45708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45708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45708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45708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45708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45708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45708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45708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45708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45708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45708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45708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45708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45708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45708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45708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45708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45708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45708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45708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45708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45708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45708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45708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45708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45708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45708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45708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45708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45708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45708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45708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45708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45708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45708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45708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45708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45708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45708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45708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45708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45708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45708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45708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45708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45708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45708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45708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45708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45708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45708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45708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45708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45708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45708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45708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45708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45708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45708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45708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45708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45708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45708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45708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45708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45708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45708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45708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45708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45708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45708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45708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45708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45708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45708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45708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45708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45708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45708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45708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45708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45708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45708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45708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45708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45708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45708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45708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45708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45708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45708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45708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45708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45708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45708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45708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45708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45708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45708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45708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45708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45708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45708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45708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45708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45708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45708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45708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45708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45708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45708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45708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45708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45708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45708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45708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45708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45708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45708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45708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45708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45708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45708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45708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45708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45708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45708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45708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45708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45708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45708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45708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45708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45708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45708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45708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45708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45708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45708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45708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45708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45708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45708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45708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45708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45708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45708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45708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45708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45708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45708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45708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45708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45708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45708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45708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45708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45708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45708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45708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45708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45708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45708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45708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45708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45708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45708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45708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45708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45708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45708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45708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45708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45708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45708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45708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45708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45708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45708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45708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45708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45708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45708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45708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45708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45708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45708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45708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45708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45708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45708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45708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45708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45708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45708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45708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45708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45708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45708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45708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45708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45708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45708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45708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45708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45708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45708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45708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45708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45708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45708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45708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45708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45708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45708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45708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45708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45708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45708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45708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45708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45708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45708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45708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45708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45708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45708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45708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45708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45708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45708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45708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45708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45708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45708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45708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45708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45708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45708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45708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45708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45708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45708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45708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45708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45708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45708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45708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45708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45708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45708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45708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45708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45708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45708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45708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45708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45708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45708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45708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45708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45708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45708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45708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45708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45708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45708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45708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45708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45708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45708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45708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45708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45708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45708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45708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45708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45708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45708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45708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45708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45708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45708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45708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45708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45708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45708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45708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45708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45708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45708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45708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45708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45708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45708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32416-2022</t>
        </is>
      </c>
      <c r="B382" s="1" t="n">
        <v>44782</v>
      </c>
      <c r="C382" s="1" t="n">
        <v>45708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45708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45708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45708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45708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45708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45708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45708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45708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45708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45708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45708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45708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45708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45708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45708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45708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45708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45708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45708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45708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45708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45708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45708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45708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45708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45708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45708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45708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45708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45708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45708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45708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45708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45708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45708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45708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45708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45708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45708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45708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45708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45708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45708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45708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45708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45708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45708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45708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45708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45708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45708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45708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45708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45708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45708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45708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45708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45708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45708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45708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45708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45708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45708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45708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45708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45708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45708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45708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45708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45708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45708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45708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45708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45708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45708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45708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45708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45708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45708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45708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45708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45708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45708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45708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45708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45708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45708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45708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45708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45708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45708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45708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45708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45708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45708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45708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45708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45708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45708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45708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45708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45708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45708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45708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45708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45708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45708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45708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45708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45708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45708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45708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45708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45708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45708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45708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45708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45708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45708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45708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45708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45708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45708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45708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45708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45708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45708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45708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45708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45708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45708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45708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45708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45708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45708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45708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45708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45708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45708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45708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45708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45708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45708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45708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45708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45708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45708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45708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45708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45708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45708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45708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45708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45708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45708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45708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45708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45708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45708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45708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45708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45708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45708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45708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45708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45708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45708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45708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45708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45708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45708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45708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45708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45708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45708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45708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45708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45708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45708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45708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45708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45708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45708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45708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45708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45708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45708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45708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45708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45708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45708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45708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45708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45708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45708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45708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45708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45708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45708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45708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45708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45708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45708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45708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45708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45708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45708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45708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45708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45708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45708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45708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45708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45708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45708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45708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45708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45708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45708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45708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45708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45708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45708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45708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45708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45708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45708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45708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45708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45708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45708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45708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45708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45708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45708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45708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45708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45708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45708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45708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45708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45708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45708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45708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45708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45708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45708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45708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45708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45708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45708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45708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45708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45708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45708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45708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45708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45708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45708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45708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45708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45708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45708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45708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45708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45708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45708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45708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45708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45708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45708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45708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45708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45708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45708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45708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45708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45708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45708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45708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45708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45708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45708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45708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45708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45708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45708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45708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45708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45708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45708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45708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45708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45708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45708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45708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45708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45708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45708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45708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45708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45708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45708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45708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45708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45708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45708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45708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45708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45708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45708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45708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45708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45708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45708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45708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45708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45708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45708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45708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45708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45708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45708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45708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45708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45708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45708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45708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45708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45708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45708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45708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45708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45708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45708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45708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45708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45708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45708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45708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45708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45708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45708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45708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45708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45708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45708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45708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45708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45708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45708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45708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45708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45708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45708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45708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45708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45708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45708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45708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45708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45708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45708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45708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45708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45708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45708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45708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45708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45708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45708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45708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45708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45708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45708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45708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45708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45708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45708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45708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45708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45708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45708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45708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45708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45708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45708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45708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45708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45708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45708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45708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45708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45708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45708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45708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45708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45708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45708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45708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45708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45708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45708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45708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45708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45708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45708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45708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45708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45708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45708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45708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45708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45708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45708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45708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45708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45708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45708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45708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45708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45708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45708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45708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45708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45708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45708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45708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45708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45708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45708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45708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45708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45708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45708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45708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45708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45708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45708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45708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45708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45708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45708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45708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45708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45708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45708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45708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45708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45708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45708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45708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45708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45708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45708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45708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45708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45708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45708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45708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45708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45708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45708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45708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45708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45708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45708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45708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45708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45708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45708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45708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45708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45708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45708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45708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45708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45708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45708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45708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45708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45708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45708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45708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45708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45708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45708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45708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45708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45708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45708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45708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45708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45708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45708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45708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45708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45708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45708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45708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45708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45708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45708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45708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45708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45708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45708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45708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45708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45708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45708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45708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45708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45708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45708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45708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45708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45708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45708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45708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45708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45708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4265-2025</t>
        </is>
      </c>
      <c r="B905" s="1" t="n">
        <v>45685</v>
      </c>
      <c r="C905" s="1" t="n">
        <v>45708</v>
      </c>
      <c r="D905" t="inlineStr">
        <is>
          <t>ÖSTERGÖTLANDS LÄN</t>
        </is>
      </c>
      <c r="E905" t="inlineStr">
        <is>
          <t>ÅTVIDABERG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45708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45708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45708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45708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45708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6401-2025</t>
        </is>
      </c>
      <c r="B911" s="1" t="n">
        <v>45699</v>
      </c>
      <c r="C911" s="1" t="n">
        <v>45708</v>
      </c>
      <c r="D911" t="inlineStr">
        <is>
          <t>ÖSTERGÖTLANDS LÄN</t>
        </is>
      </c>
      <c r="E911" t="inlineStr">
        <is>
          <t>ÅTVIDABERG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45708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45708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45708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7890-2025</t>
        </is>
      </c>
      <c r="B915" s="1" t="n">
        <v>45707</v>
      </c>
      <c r="C915" s="1" t="n">
        <v>45708</v>
      </c>
      <c r="D915" t="inlineStr">
        <is>
          <t>ÖSTERGÖTLANDS LÄN</t>
        </is>
      </c>
      <c r="E915" t="inlineStr">
        <is>
          <t>ÅTVIDABERG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7893-2025</t>
        </is>
      </c>
      <c r="B916" s="1" t="n">
        <v>45707</v>
      </c>
      <c r="C916" s="1" t="n">
        <v>45708</v>
      </c>
      <c r="D916" t="inlineStr">
        <is>
          <t>ÖSTERGÖTLANDS LÄN</t>
        </is>
      </c>
      <c r="E916" t="inlineStr">
        <is>
          <t>ÅTVIDABERG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7891-2025</t>
        </is>
      </c>
      <c r="B917" s="1" t="n">
        <v>45707</v>
      </c>
      <c r="C917" s="1" t="n">
        <v>45708</v>
      </c>
      <c r="D917" t="inlineStr">
        <is>
          <t>ÖSTERGÖTLANDS LÄN</t>
        </is>
      </c>
      <c r="E917" t="inlineStr">
        <is>
          <t>ÅTVIDABERG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7892-2025</t>
        </is>
      </c>
      <c r="B918" s="1" t="n">
        <v>45707</v>
      </c>
      <c r="C918" s="1" t="n">
        <v>45708</v>
      </c>
      <c r="D918" t="inlineStr">
        <is>
          <t>ÖSTERGÖTLANDS LÄN</t>
        </is>
      </c>
      <c r="E918" t="inlineStr">
        <is>
          <t>ÅTVIDABERG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2025-02-20T17:07:02Z</dcterms:created>
  <dcterms:modified xmlns:dcterms="http://purl.org/dc/terms/" xmlns:xsi="http://www.w3.org/2001/XMLSchema-instance" xsi:type="dcterms:W3CDTF">2025-02-20T17:07:03Z</dcterms:modified>
</cp:coreProperties>
</file>