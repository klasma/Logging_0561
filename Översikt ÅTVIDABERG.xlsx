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45789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45789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45789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3382-2023</t>
        </is>
      </c>
      <c r="B5" s="1" t="n">
        <v>44949</v>
      </c>
      <c r="C5" s="1" t="n">
        <v>45789</v>
      </c>
      <c r="D5" t="inlineStr">
        <is>
          <t>ÖSTERGÖTLANDS LÄN</t>
        </is>
      </c>
      <c r="E5" t="inlineStr">
        <is>
          <t>ÅTVIDABERG</t>
        </is>
      </c>
      <c r="G5" t="n">
        <v>2.9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Knärot
Kilporing
Spillkråka
Tallticka
Ullticka
Vedskivlav
Bronshjon</t>
        </is>
      </c>
      <c r="S5">
        <f>HYPERLINK("https://klasma.github.io/Logging_0561/artfynd/A 3382-2023 artfynd.xlsx", "A 3382-2023")</f>
        <v/>
      </c>
      <c r="T5">
        <f>HYPERLINK("https://klasma.github.io/Logging_0561/kartor/A 3382-2023 karta.png", "A 3382-2023")</f>
        <v/>
      </c>
      <c r="U5">
        <f>HYPERLINK("https://klasma.github.io/Logging_0561/knärot/A 3382-2023 karta knärot.png", "A 3382-2023")</f>
        <v/>
      </c>
      <c r="V5">
        <f>HYPERLINK("https://klasma.github.io/Logging_0561/klagomål/A 3382-2023 FSC-klagomål.docx", "A 3382-2023")</f>
        <v/>
      </c>
      <c r="W5">
        <f>HYPERLINK("https://klasma.github.io/Logging_0561/klagomålsmail/A 3382-2023 FSC-klagomål mail.docx", "A 3382-2023")</f>
        <v/>
      </c>
      <c r="X5">
        <f>HYPERLINK("https://klasma.github.io/Logging_0561/tillsyn/A 3382-2023 tillsynsbegäran.docx", "A 3382-2023")</f>
        <v/>
      </c>
      <c r="Y5">
        <f>HYPERLINK("https://klasma.github.io/Logging_0561/tillsynsmail/A 3382-2023 tillsynsbegäran mail.docx", "A 3382-2023")</f>
        <v/>
      </c>
      <c r="Z5">
        <f>HYPERLINK("https://klasma.github.io/Logging_0561/fåglar/A 3382-2023 prioriterade fågelarter.docx", "A 3382-2023")</f>
        <v/>
      </c>
    </row>
    <row r="6" ht="15" customHeight="1">
      <c r="A6" t="inlineStr">
        <is>
          <t>A 31109-2020</t>
        </is>
      </c>
      <c r="B6" s="1" t="n">
        <v>44012</v>
      </c>
      <c r="C6" s="1" t="n">
        <v>45789</v>
      </c>
      <c r="D6" t="inlineStr">
        <is>
          <t>ÖSTERGÖTLANDS LÄN</t>
        </is>
      </c>
      <c r="E6" t="inlineStr">
        <is>
          <t>ÅTVIDABERG</t>
        </is>
      </c>
      <c r="F6" t="inlineStr">
        <is>
          <t>Kommuner</t>
        </is>
      </c>
      <c r="G6" t="n">
        <v>4.3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Gröngöling
Järnsparv
Kungsfågel
Vanlig snok
Revlummer</t>
        </is>
      </c>
      <c r="S6">
        <f>HYPERLINK("https://klasma.github.io/Logging_0561/artfynd/A 31109-2020 artfynd.xlsx", "A 31109-2020")</f>
        <v/>
      </c>
      <c r="T6">
        <f>HYPERLINK("https://klasma.github.io/Logging_0561/kartor/A 31109-2020 karta.png", "A 31109-2020")</f>
        <v/>
      </c>
      <c r="V6">
        <f>HYPERLINK("https://klasma.github.io/Logging_0561/klagomål/A 31109-2020 FSC-klagomål.docx", "A 31109-2020")</f>
        <v/>
      </c>
      <c r="W6">
        <f>HYPERLINK("https://klasma.github.io/Logging_0561/klagomålsmail/A 31109-2020 FSC-klagomål mail.docx", "A 31109-2020")</f>
        <v/>
      </c>
      <c r="X6">
        <f>HYPERLINK("https://klasma.github.io/Logging_0561/tillsyn/A 31109-2020 tillsynsbegäran.docx", "A 31109-2020")</f>
        <v/>
      </c>
      <c r="Y6">
        <f>HYPERLINK("https://klasma.github.io/Logging_0561/tillsynsmail/A 31109-2020 tillsynsbegäran mail.docx", "A 31109-2020")</f>
        <v/>
      </c>
      <c r="Z6">
        <f>HYPERLINK("https://klasma.github.io/Logging_0561/fåglar/A 31109-2020 prioriterade fågelarter.docx", "A 31109-2020")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45789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45789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45789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45789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45789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45789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45789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45789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45789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45789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45789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45789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45789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45789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45789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45789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45789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45789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45789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45789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45789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45789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45789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45789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45789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45789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45789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45789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45789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45789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45789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45789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45789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45789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45789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45789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45789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45789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45789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45789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45789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45789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45789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45789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45789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45789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45789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45789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45789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45789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45789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45789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45789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45789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45789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45789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45789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45789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45789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45789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45789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45789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45789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45789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45789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45789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45789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45789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45789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45789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45789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45789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45789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45789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45789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45789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45789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45789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45789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45789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45789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45789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45789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45789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45789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45789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45789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45789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45789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45789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45789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45789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45789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45789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45789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45789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45789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45789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45789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45789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45789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45789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45789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45789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45789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45789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45789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45789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45789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45789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45789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45789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45789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45789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45789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45789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45789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45789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45789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45789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45789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45789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45789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45789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45789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45789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45789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45789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45789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45789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45789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45789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45789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45789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45789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45789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45789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45789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45789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45789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45789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45789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45789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45789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45789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45789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45789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45789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45789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45789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45789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45789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45789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45789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45789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45789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45789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45789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45789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45789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45789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45789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45789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45789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45789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45789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45789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45789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45789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45789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45789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45789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45789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45789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45789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45789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45789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45789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45789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45789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45789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45789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45789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45789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45789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45789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45789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45789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45789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45789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45789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45789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45789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45789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45789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45789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45789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45789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45789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45789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45789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45789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45789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45789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45789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45789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45789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45789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45789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45789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45789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45789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45789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45789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45789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45789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45789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45789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45789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45789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45789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45789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45789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45789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45789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45789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45789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45789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45789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45789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45789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45789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45789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45789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45789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45789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45789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45789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45789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45789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45789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45789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45789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45789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45789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45789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45789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45789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45789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45789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45789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45789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45789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45789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45789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45789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45789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45789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45789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45789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45789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45789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45789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45789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45789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45789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45789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45789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45789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45789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45789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45789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45789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45789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45789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45789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45789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45789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45789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45789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45789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45789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45789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45789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45789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45789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45789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45789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45789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45789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45789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45789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45789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45789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45789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45789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45789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45789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45789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45789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45789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45789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45789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45789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45789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45789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45789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45789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45789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45789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45789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45789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45789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45789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45789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45789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45789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45789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45789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45789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45789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45789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45789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45789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45789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45789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45789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45789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45789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45789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45789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45789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45789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45789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45789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45789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45789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45789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45789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45789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45789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45789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45789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45789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45789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45789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45789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45789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45789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45789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45789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45789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45789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45789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45789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45789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45789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45789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45789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45789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45789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45789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45789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45789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45789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45789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45789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45789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45789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45789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45789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45789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45789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45789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45789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45789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45789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45789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45789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45789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45789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45789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45789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45789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45789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45789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45789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45789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45789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45789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45789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45789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45789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45789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45789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45789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45789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45789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45789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45789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45789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45789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45789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45789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45789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45789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45789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45789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45789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45789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45789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45789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45789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45789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45789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45789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45789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45789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45789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45789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45789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45789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45789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45789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45789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45789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45789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45789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45789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45789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45789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45789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45789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45789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45789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45789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45789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45789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45789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45789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45789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45789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45789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45789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45789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45789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45789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45789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45789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45789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45789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45789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45789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45789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45789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45789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45789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45789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45789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45789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45789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45789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45789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45789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45789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45789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45789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45789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45789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45789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45789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45789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45789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45789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45789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45789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45789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45789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45789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45789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45789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45789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45789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45789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45789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45789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45789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45789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45789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45789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45789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45789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45789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45789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45789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45789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45789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45789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45789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45789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45789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45789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45789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45789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45789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45789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45789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45789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45789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45789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45789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45789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45789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45789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45789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45789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45789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45789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45789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45789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45789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45789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45789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45789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45789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45789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45789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45789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45789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45789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45789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45789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45789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45789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45789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45789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45789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45789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45789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45789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45789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45789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45789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45789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45789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45789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45789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45789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45789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45789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45789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45789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45789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45789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45789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45789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45789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45789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45789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45789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45789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45789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45789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45789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45789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45789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45789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45789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45789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45789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45789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45789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45789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45789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45789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45789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45789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45789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45789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45789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45789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45789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45789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45789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45789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45789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45789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45789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45789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45789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45789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45789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45789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45789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45789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45789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45789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45789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45789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45789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45789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45789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45789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45789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45789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45789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45789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45789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45789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45789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45789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45789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45789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45789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45789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45789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45789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45789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45789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45789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45789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45789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45789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45789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45789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45789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45789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45789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45789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45789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45789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45789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45789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45789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45789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45789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45789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45789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45789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45789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45789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45789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45789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45789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45789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45789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45789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45789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45789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45789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45789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45789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45789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45789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45789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45789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45789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45789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45789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45789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45789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45789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45789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45789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45789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45789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45789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45789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45789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45789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45789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45789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45789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45789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45789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45789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45789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45789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45789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45789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45789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45789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45789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45789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45789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45789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45789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45789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45789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45789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45789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45789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45789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45789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45789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45789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45789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45789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45789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45789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45789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45789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45789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45789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45789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45789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45789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45789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45789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45789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45789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45789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45789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45789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45789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45789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45789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45789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45789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45789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45789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45789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45789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45789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45789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45789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45789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45789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45789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45789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45789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45789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45789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45789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45789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45789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45789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45789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45789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45789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45789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45789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45789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45789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45789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45789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45789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45789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45789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45789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45789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45789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45789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45789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45789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45789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45789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45789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45789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45789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45789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45789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45789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45789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45789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45789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45789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45789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45789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45789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45789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45789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45789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45789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45789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45789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45789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45789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45789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45789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45789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45789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45789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45789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45789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45789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45789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45789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45789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45789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45789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45789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45789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45789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45789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45789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45789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45789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45789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45789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45789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45789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45789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45789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45789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45789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45789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45789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45789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45789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45789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45789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45789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45789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45789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45789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45789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45789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45789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45789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45789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45789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45789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45789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45789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45789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45789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45789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45789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45789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45789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45789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45789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45789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45789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45789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45789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45789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45789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45789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45789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45789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45789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45789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45789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45789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45789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45789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45789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45789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45789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45789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45789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45789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45789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45789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45789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45789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45789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45789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45789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45789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45789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45789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45789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45789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45789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45789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45789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45789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45789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45789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45789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45789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45789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45789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45789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45789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45789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45789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45789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45789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45789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45789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45789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45789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45789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45789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45789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45789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45789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45789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45789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45789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45789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45789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45789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45789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45789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45789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45789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45789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45789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45789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45789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45789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45789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45789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45789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45789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45789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45789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45789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45789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45789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45789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45789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45789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45789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45789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45789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45789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45789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45789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45789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45789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45789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45789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45789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45789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45789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45789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45789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45789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45789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45789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45789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45789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45789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45789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45789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45789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45789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45789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45789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45789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45789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45789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45789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45789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45789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45789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45789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45789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45789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45789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45789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45789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45789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45789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45789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21839-2025</t>
        </is>
      </c>
      <c r="B968" s="1" t="n">
        <v>45784</v>
      </c>
      <c r="C968" s="1" t="n">
        <v>45789</v>
      </c>
      <c r="D968" t="inlineStr">
        <is>
          <t>ÖSTERGÖTLANDS LÄN</t>
        </is>
      </c>
      <c r="E968" t="inlineStr">
        <is>
          <t>ÅTVIDABERG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21842-2025</t>
        </is>
      </c>
      <c r="B969" s="1" t="n">
        <v>45784</v>
      </c>
      <c r="C969" s="1" t="n">
        <v>45789</v>
      </c>
      <c r="D969" t="inlineStr">
        <is>
          <t>ÖSTERGÖTLANDS LÄN</t>
        </is>
      </c>
      <c r="E969" t="inlineStr">
        <is>
          <t>ÅTVIDABERG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2025-05-12T17:30:17Z</dcterms:created>
  <dcterms:modified xmlns:dcterms="http://purl.org/dc/terms/" xmlns:xsi="http://www.w3.org/2001/XMLSchema-instance" xsi:type="dcterms:W3CDTF">2025-05-12T17:30:18Z</dcterms:modified>
</cp:coreProperties>
</file>