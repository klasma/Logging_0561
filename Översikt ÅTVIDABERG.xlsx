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46066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46066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46066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46066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46066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46066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46066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46066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46066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46066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46066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46066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46066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46066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34708-2025</t>
        </is>
      </c>
      <c r="B23" s="1" t="n">
        <v>45848</v>
      </c>
      <c r="C23" s="1" t="n">
        <v>46066</v>
      </c>
      <c r="D23" t="inlineStr">
        <is>
          <t>ÖSTERGÖTLANDS LÄN</t>
        </is>
      </c>
      <c r="E23" t="inlineStr">
        <is>
          <t>ÅTVIDABERG</t>
        </is>
      </c>
      <c r="G23" t="n">
        <v>0.9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Talltita</t>
        </is>
      </c>
      <c r="S23">
        <f>HYPERLINK("https://klasma.github.io/Logging_0561/artfynd/A 34708-2025 artfynd.xlsx", "A 34708-2025")</f>
        <v/>
      </c>
      <c r="T23">
        <f>HYPERLINK("https://klasma.github.io/Logging_0561/kartor/A 34708-2025 karta.png", "A 34708-2025")</f>
        <v/>
      </c>
      <c r="U23">
        <f>HYPERLINK("https://klasma.github.io/Logging_0561/knärot/A 34708-2025 karta knärot.png", "A 34708-2025")</f>
        <v/>
      </c>
      <c r="V23">
        <f>HYPERLINK("https://klasma.github.io/Logging_0561/klagomål/A 34708-2025 FSC-klagomål.docx", "A 34708-2025")</f>
        <v/>
      </c>
      <c r="W23">
        <f>HYPERLINK("https://klasma.github.io/Logging_0561/klagomålsmail/A 34708-2025 FSC-klagomål mail.docx", "A 34708-2025")</f>
        <v/>
      </c>
      <c r="X23">
        <f>HYPERLINK("https://klasma.github.io/Logging_0561/tillsyn/A 34708-2025 tillsynsbegäran.docx", "A 34708-2025")</f>
        <v/>
      </c>
      <c r="Y23">
        <f>HYPERLINK("https://klasma.github.io/Logging_0561/tillsynsmail/A 34708-2025 tillsynsbegäran mail.docx", "A 34708-2025")</f>
        <v/>
      </c>
      <c r="Z23">
        <f>HYPERLINK("https://klasma.github.io/Logging_0561/fåglar/A 34708-2025 prioriterade fågelarter.docx", "A 34708-2025")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46066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46066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46066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698-2026</t>
        </is>
      </c>
      <c r="B27" s="1" t="n">
        <v>46029.6153125</v>
      </c>
      <c r="C27" s="1" t="n">
        <v>46066</v>
      </c>
      <c r="D27" t="inlineStr">
        <is>
          <t>ÖSTERGÖTLANDS LÄN</t>
        </is>
      </c>
      <c r="E27" t="inlineStr">
        <is>
          <t>ÅTVIDABERG</t>
        </is>
      </c>
      <c r="G27" t="n">
        <v>0.8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Blåmossa</t>
        </is>
      </c>
      <c r="S27">
        <f>HYPERLINK("https://klasma.github.io/Logging_0561/artfynd/A 698-2026 artfynd.xlsx", "A 698-2026")</f>
        <v/>
      </c>
      <c r="T27">
        <f>HYPERLINK("https://klasma.github.io/Logging_0561/kartor/A 698-2026 karta.png", "A 698-2026")</f>
        <v/>
      </c>
      <c r="V27">
        <f>HYPERLINK("https://klasma.github.io/Logging_0561/klagomål/A 698-2026 FSC-klagomål.docx", "A 698-2026")</f>
        <v/>
      </c>
      <c r="W27">
        <f>HYPERLINK("https://klasma.github.io/Logging_0561/klagomålsmail/A 698-2026 FSC-klagomål mail.docx", "A 698-2026")</f>
        <v/>
      </c>
      <c r="X27">
        <f>HYPERLINK("https://klasma.github.io/Logging_0561/tillsyn/A 698-2026 tillsynsbegäran.docx", "A 698-2026")</f>
        <v/>
      </c>
      <c r="Y27">
        <f>HYPERLINK("https://klasma.github.io/Logging_0561/tillsynsmail/A 698-2026 tillsynsbegäran mail.docx", "A 698-2026")</f>
        <v/>
      </c>
      <c r="Z27">
        <f>HYPERLINK("https://klasma.github.io/Logging_0561/fåglar/A 698-2026 prioriterade fågelarter.docx", "A 698-2026")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46066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46066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46066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46066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46066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46066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46066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46066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46066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46066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46066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46066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46066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46066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46066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46066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46066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46066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46066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46066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46066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46066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46066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46066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46066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46066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46066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46066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46066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46066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46066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46066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46066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46066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46066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71791-2021</t>
        </is>
      </c>
      <c r="B63" s="1" t="n">
        <v>44539</v>
      </c>
      <c r="C63" s="1" t="n">
        <v>46066</v>
      </c>
      <c r="D63" t="inlineStr">
        <is>
          <t>ÖSTERGÖTLANDS LÄN</t>
        </is>
      </c>
      <c r="E63" t="inlineStr">
        <is>
          <t>ÅTVIDABERG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46066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46066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46066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46066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46066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46066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46066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46066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46066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46066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46066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46066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46066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46066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46066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46066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46066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46066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46066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46066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46066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46066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46066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46066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46066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46066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46066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46066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46066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46066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46066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46066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46066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56262-2021</t>
        </is>
      </c>
      <c r="B97" s="1" t="n">
        <v>44479</v>
      </c>
      <c r="C97" s="1" t="n">
        <v>46066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46066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46066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46066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46066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46066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46066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46066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46066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46066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46066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46066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46066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46066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46066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46066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46066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46066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46066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46066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46066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46066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46066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46066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46066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46066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46066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46066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46066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46066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46066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46066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46066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46066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46066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46066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46066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46066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46066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46066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46066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46066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46066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46066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46066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46066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46066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11222-2022</t>
        </is>
      </c>
      <c r="B144" s="1" t="n">
        <v>44629</v>
      </c>
      <c r="C144" s="1" t="n">
        <v>46066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55702-2022</t>
        </is>
      </c>
      <c r="B145" s="1" t="n">
        <v>44888</v>
      </c>
      <c r="C145" s="1" t="n">
        <v>46066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6884-2023</t>
        </is>
      </c>
      <c r="B146" s="1" t="n">
        <v>44967</v>
      </c>
      <c r="C146" s="1" t="n">
        <v>46066</v>
      </c>
      <c r="D146" t="inlineStr">
        <is>
          <t>ÖSTERGÖTLANDS LÄN</t>
        </is>
      </c>
      <c r="E146" t="inlineStr">
        <is>
          <t>ÅTVIDABERG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46066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42316-2022</t>
        </is>
      </c>
      <c r="B148" s="1" t="n">
        <v>44831.31862268518</v>
      </c>
      <c r="C148" s="1" t="n">
        <v>46066</v>
      </c>
      <c r="D148" t="inlineStr">
        <is>
          <t>ÖSTERGÖTLANDS LÄN</t>
        </is>
      </c>
      <c r="E148" t="inlineStr">
        <is>
          <t>ÅTVIDABERG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46066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46066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2478-2022</t>
        </is>
      </c>
      <c r="B151" s="1" t="n">
        <v>44579</v>
      </c>
      <c r="C151" s="1" t="n">
        <v>46066</v>
      </c>
      <c r="D151" t="inlineStr">
        <is>
          <t>ÖSTERGÖTLANDS LÄN</t>
        </is>
      </c>
      <c r="E151" t="inlineStr">
        <is>
          <t>ÅTVIDABERG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46260-2022</t>
        </is>
      </c>
      <c r="B152" s="1" t="n">
        <v>44847</v>
      </c>
      <c r="C152" s="1" t="n">
        <v>46066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46066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57029-2022</t>
        </is>
      </c>
      <c r="B154" s="1" t="n">
        <v>44895.30123842593</v>
      </c>
      <c r="C154" s="1" t="n">
        <v>46066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46066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39123-2021</t>
        </is>
      </c>
      <c r="B156" s="1" t="n">
        <v>44412</v>
      </c>
      <c r="C156" s="1" t="n">
        <v>46066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46066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46066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21294-2024</t>
        </is>
      </c>
      <c r="B159" s="1" t="n">
        <v>45440.66633101852</v>
      </c>
      <c r="C159" s="1" t="n">
        <v>46066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18188-2025</t>
        </is>
      </c>
      <c r="B160" s="1" t="n">
        <v>45761.67010416667</v>
      </c>
      <c r="C160" s="1" t="n">
        <v>46066</v>
      </c>
      <c r="D160" t="inlineStr">
        <is>
          <t>ÖSTERGÖTLANDS LÄN</t>
        </is>
      </c>
      <c r="E160" t="inlineStr">
        <is>
          <t>ÅTVIDABERG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59722-2021</t>
        </is>
      </c>
      <c r="B161" s="1" t="n">
        <v>44494</v>
      </c>
      <c r="C161" s="1" t="n">
        <v>46066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27977-2022</t>
        </is>
      </c>
      <c r="B162" s="1" t="n">
        <v>44745</v>
      </c>
      <c r="C162" s="1" t="n">
        <v>46066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22573-2021</t>
        </is>
      </c>
      <c r="B163" s="1" t="n">
        <v>44327</v>
      </c>
      <c r="C163" s="1" t="n">
        <v>46066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9975-2022</t>
        </is>
      </c>
      <c r="B164" s="1" t="n">
        <v>44621</v>
      </c>
      <c r="C164" s="1" t="n">
        <v>46066</v>
      </c>
      <c r="D164" t="inlineStr">
        <is>
          <t>ÖSTERGÖTLANDS LÄN</t>
        </is>
      </c>
      <c r="E164" t="inlineStr">
        <is>
          <t>ÅTVIDABERG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44819-2022</t>
        </is>
      </c>
      <c r="B165" s="1" t="n">
        <v>44841</v>
      </c>
      <c r="C165" s="1" t="n">
        <v>46066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46066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31458-2023</t>
        </is>
      </c>
      <c r="B167" s="1" t="n">
        <v>45114</v>
      </c>
      <c r="C167" s="1" t="n">
        <v>46066</v>
      </c>
      <c r="D167" t="inlineStr">
        <is>
          <t>ÖSTERGÖTLANDS LÄN</t>
        </is>
      </c>
      <c r="E167" t="inlineStr">
        <is>
          <t>ÅTVIDABERG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23742-2023</t>
        </is>
      </c>
      <c r="B168" s="1" t="n">
        <v>45077.77979166667</v>
      </c>
      <c r="C168" s="1" t="n">
        <v>46066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27415-2022</t>
        </is>
      </c>
      <c r="B169" s="1" t="n">
        <v>44742</v>
      </c>
      <c r="C169" s="1" t="n">
        <v>46066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17542-2023</t>
        </is>
      </c>
      <c r="B170" s="1" t="n">
        <v>45036.49065972222</v>
      </c>
      <c r="C170" s="1" t="n">
        <v>46066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65594-2021</t>
        </is>
      </c>
      <c r="B171" s="1" t="n">
        <v>44516</v>
      </c>
      <c r="C171" s="1" t="n">
        <v>46066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65588-2021</t>
        </is>
      </c>
      <c r="B172" s="1" t="n">
        <v>44516</v>
      </c>
      <c r="C172" s="1" t="n">
        <v>46066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65590-2021</t>
        </is>
      </c>
      <c r="B173" s="1" t="n">
        <v>44516</v>
      </c>
      <c r="C173" s="1" t="n">
        <v>46066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39580-2023</t>
        </is>
      </c>
      <c r="B174" s="1" t="n">
        <v>45167</v>
      </c>
      <c r="C174" s="1" t="n">
        <v>46066</v>
      </c>
      <c r="D174" t="inlineStr">
        <is>
          <t>ÖSTERGÖTLANDS LÄN</t>
        </is>
      </c>
      <c r="E174" t="inlineStr">
        <is>
          <t>ÅTVIDABERG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7550-2024</t>
        </is>
      </c>
      <c r="B175" s="1" t="n">
        <v>45348.42409722223</v>
      </c>
      <c r="C175" s="1" t="n">
        <v>46066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31928-2022</t>
        </is>
      </c>
      <c r="B176" s="1" t="n">
        <v>44777.62895833333</v>
      </c>
      <c r="C176" s="1" t="n">
        <v>46066</v>
      </c>
      <c r="D176" t="inlineStr">
        <is>
          <t>ÖSTERGÖTLANDS LÄN</t>
        </is>
      </c>
      <c r="E176" t="inlineStr">
        <is>
          <t>ÅTVIDABERG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36967-2022</t>
        </is>
      </c>
      <c r="B177" s="1" t="n">
        <v>44806</v>
      </c>
      <c r="C177" s="1" t="n">
        <v>46066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30967-2023</t>
        </is>
      </c>
      <c r="B178" s="1" t="n">
        <v>45113.48548611111</v>
      </c>
      <c r="C178" s="1" t="n">
        <v>46066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807-2025</t>
        </is>
      </c>
      <c r="B179" s="1" t="n">
        <v>45665.54818287037</v>
      </c>
      <c r="C179" s="1" t="n">
        <v>46066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46066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24095-2025</t>
        </is>
      </c>
      <c r="B181" s="1" t="n">
        <v>45796.57399305556</v>
      </c>
      <c r="C181" s="1" t="n">
        <v>46066</v>
      </c>
      <c r="D181" t="inlineStr">
        <is>
          <t>ÖSTERGÖTLANDS LÄN</t>
        </is>
      </c>
      <c r="E181" t="inlineStr">
        <is>
          <t>ÅTVIDABERG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46066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23991-2025</t>
        </is>
      </c>
      <c r="B183" s="1" t="n">
        <v>45796.40332175926</v>
      </c>
      <c r="C183" s="1" t="n">
        <v>46066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796-2025</t>
        </is>
      </c>
      <c r="B184" s="1" t="n">
        <v>45665.5291087963</v>
      </c>
      <c r="C184" s="1" t="n">
        <v>46066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2026-2024</t>
        </is>
      </c>
      <c r="B185" s="1" t="n">
        <v>45308.75856481482</v>
      </c>
      <c r="C185" s="1" t="n">
        <v>46066</v>
      </c>
      <c r="D185" t="inlineStr">
        <is>
          <t>ÖSTERGÖTLANDS LÄN</t>
        </is>
      </c>
      <c r="E185" t="inlineStr">
        <is>
          <t>ÅTVIDABERG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25548-2023</t>
        </is>
      </c>
      <c r="B186" s="1" t="n">
        <v>45089</v>
      </c>
      <c r="C186" s="1" t="n">
        <v>46066</v>
      </c>
      <c r="D186" t="inlineStr">
        <is>
          <t>ÖSTERGÖTLANDS LÄN</t>
        </is>
      </c>
      <c r="E186" t="inlineStr">
        <is>
          <t>ÅTVIDABERG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24163-2025</t>
        </is>
      </c>
      <c r="B187" s="1" t="n">
        <v>45796.67018518518</v>
      </c>
      <c r="C187" s="1" t="n">
        <v>46066</v>
      </c>
      <c r="D187" t="inlineStr">
        <is>
          <t>ÖSTERGÖTLANDS LÄN</t>
        </is>
      </c>
      <c r="E187" t="inlineStr">
        <is>
          <t>ÅTVIDABERG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1871-2025</t>
        </is>
      </c>
      <c r="B188" s="1" t="n">
        <v>45671.6171875</v>
      </c>
      <c r="C188" s="1" t="n">
        <v>46066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24151-2025</t>
        </is>
      </c>
      <c r="B189" s="1" t="n">
        <v>45796.65553240741</v>
      </c>
      <c r="C189" s="1" t="n">
        <v>46066</v>
      </c>
      <c r="D189" t="inlineStr">
        <is>
          <t>ÖSTERGÖTLANDS LÄN</t>
        </is>
      </c>
      <c r="E189" t="inlineStr">
        <is>
          <t>ÅTVIDABERG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36263-2024</t>
        </is>
      </c>
      <c r="B190" s="1" t="n">
        <v>45534.55334490741</v>
      </c>
      <c r="C190" s="1" t="n">
        <v>46066</v>
      </c>
      <c r="D190" t="inlineStr">
        <is>
          <t>ÖSTERGÖTLANDS LÄN</t>
        </is>
      </c>
      <c r="E190" t="inlineStr">
        <is>
          <t>ÅTVIDABERG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426-2025</t>
        </is>
      </c>
      <c r="B191" s="1" t="n">
        <v>45664.34681712963</v>
      </c>
      <c r="C191" s="1" t="n">
        <v>46066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62137-2023</t>
        </is>
      </c>
      <c r="B192" s="1" t="n">
        <v>45267.36506944444</v>
      </c>
      <c r="C192" s="1" t="n">
        <v>46066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56270-2021</t>
        </is>
      </c>
      <c r="B193" s="1" t="n">
        <v>44479</v>
      </c>
      <c r="C193" s="1" t="n">
        <v>46066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25419-2025</t>
        </is>
      </c>
      <c r="B194" s="1" t="n">
        <v>45800.68248842593</v>
      </c>
      <c r="C194" s="1" t="n">
        <v>46066</v>
      </c>
      <c r="D194" t="inlineStr">
        <is>
          <t>ÖSTERGÖTLANDS LÄN</t>
        </is>
      </c>
      <c r="E194" t="inlineStr">
        <is>
          <t>ÅTVIDABERG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22924-2023</t>
        </is>
      </c>
      <c r="B195" s="1" t="n">
        <v>45072.59619212963</v>
      </c>
      <c r="C195" s="1" t="n">
        <v>46066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25075-2025</t>
        </is>
      </c>
      <c r="B196" s="1" t="n">
        <v>45799.86152777778</v>
      </c>
      <c r="C196" s="1" t="n">
        <v>46066</v>
      </c>
      <c r="D196" t="inlineStr">
        <is>
          <t>ÖSTERGÖTLANDS LÄN</t>
        </is>
      </c>
      <c r="E196" t="inlineStr">
        <is>
          <t>ÅTVIDABERG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25930-2025</t>
        </is>
      </c>
      <c r="B197" s="1" t="n">
        <v>45804.57940972222</v>
      </c>
      <c r="C197" s="1" t="n">
        <v>46066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38805-2021</t>
        </is>
      </c>
      <c r="B198" s="1" t="n">
        <v>44410</v>
      </c>
      <c r="C198" s="1" t="n">
        <v>46066</v>
      </c>
      <c r="D198" t="inlineStr">
        <is>
          <t>ÖSTERGÖTLANDS LÄN</t>
        </is>
      </c>
      <c r="E198" t="inlineStr">
        <is>
          <t>ÅTVIDABERG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31127-2022</t>
        </is>
      </c>
      <c r="B199" s="1" t="n">
        <v>44770</v>
      </c>
      <c r="C199" s="1" t="n">
        <v>46066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7652-2022</t>
        </is>
      </c>
      <c r="B200" s="1" t="n">
        <v>44607</v>
      </c>
      <c r="C200" s="1" t="n">
        <v>46066</v>
      </c>
      <c r="D200" t="inlineStr">
        <is>
          <t>ÖSTERGÖTLANDS LÄN</t>
        </is>
      </c>
      <c r="E200" t="inlineStr">
        <is>
          <t>ÅTVIDABERG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30119-2023</t>
        </is>
      </c>
      <c r="B201" s="1" t="n">
        <v>45110</v>
      </c>
      <c r="C201" s="1" t="n">
        <v>46066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9722-2024</t>
        </is>
      </c>
      <c r="B202" s="1" t="n">
        <v>45362.55030092593</v>
      </c>
      <c r="C202" s="1" t="n">
        <v>46066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11680-2025</t>
        </is>
      </c>
      <c r="B203" s="1" t="n">
        <v>45727.54421296297</v>
      </c>
      <c r="C203" s="1" t="n">
        <v>46066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42488-2023</t>
        </is>
      </c>
      <c r="B204" s="1" t="n">
        <v>45180</v>
      </c>
      <c r="C204" s="1" t="n">
        <v>46066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27439-2025</t>
        </is>
      </c>
      <c r="B205" s="1" t="n">
        <v>45813.31575231482</v>
      </c>
      <c r="C205" s="1" t="n">
        <v>46066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57657-2022</t>
        </is>
      </c>
      <c r="B206" s="1" t="n">
        <v>44897.43328703703</v>
      </c>
      <c r="C206" s="1" t="n">
        <v>46066</v>
      </c>
      <c r="D206" t="inlineStr">
        <is>
          <t>ÖSTERGÖTLANDS LÄN</t>
        </is>
      </c>
      <c r="E206" t="inlineStr">
        <is>
          <t>ÅTVIDABERG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28030-2025</t>
        </is>
      </c>
      <c r="B207" s="1" t="n">
        <v>45817.62875</v>
      </c>
      <c r="C207" s="1" t="n">
        <v>46066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27744-2024</t>
        </is>
      </c>
      <c r="B208" s="1" t="n">
        <v>45475</v>
      </c>
      <c r="C208" s="1" t="n">
        <v>46066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27745-2024</t>
        </is>
      </c>
      <c r="B209" s="1" t="n">
        <v>45475</v>
      </c>
      <c r="C209" s="1" t="n">
        <v>46066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38992-2025</t>
        </is>
      </c>
      <c r="B210" s="1" t="n">
        <v>45888.32987268519</v>
      </c>
      <c r="C210" s="1" t="n">
        <v>46066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437-2025</t>
        </is>
      </c>
      <c r="B211" s="1" t="n">
        <v>45664.38144675926</v>
      </c>
      <c r="C211" s="1" t="n">
        <v>46066</v>
      </c>
      <c r="D211" t="inlineStr">
        <is>
          <t>ÖSTERGÖTLANDS LÄN</t>
        </is>
      </c>
      <c r="E211" t="inlineStr">
        <is>
          <t>ÅTVIDABERG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4007-2024</t>
        </is>
      </c>
      <c r="B212" s="1" t="n">
        <v>45323</v>
      </c>
      <c r="C212" s="1" t="n">
        <v>46066</v>
      </c>
      <c r="D212" t="inlineStr">
        <is>
          <t>ÖSTERGÖTLANDS LÄN</t>
        </is>
      </c>
      <c r="E212" t="inlineStr">
        <is>
          <t>ÅTVIDABERG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38997-2025</t>
        </is>
      </c>
      <c r="B213" s="1" t="n">
        <v>45888.33875</v>
      </c>
      <c r="C213" s="1" t="n">
        <v>46066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52238-2023</t>
        </is>
      </c>
      <c r="B214" s="1" t="n">
        <v>45224</v>
      </c>
      <c r="C214" s="1" t="n">
        <v>46066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27809-2025</t>
        </is>
      </c>
      <c r="B215" s="1" t="n">
        <v>45817.31120370371</v>
      </c>
      <c r="C215" s="1" t="n">
        <v>46066</v>
      </c>
      <c r="D215" t="inlineStr">
        <is>
          <t>ÖSTERGÖTLANDS LÄN</t>
        </is>
      </c>
      <c r="E215" t="inlineStr">
        <is>
          <t>ÅTVIDABERG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9115-2025</t>
        </is>
      </c>
      <c r="B216" s="1" t="n">
        <v>45713.79457175926</v>
      </c>
      <c r="C216" s="1" t="n">
        <v>46066</v>
      </c>
      <c r="D216" t="inlineStr">
        <is>
          <t>ÖSTERGÖTLANDS LÄN</t>
        </is>
      </c>
      <c r="E216" t="inlineStr">
        <is>
          <t>ÅTVIDABERG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10222-2022</t>
        </is>
      </c>
      <c r="B217" s="1" t="n">
        <v>44622.48778935185</v>
      </c>
      <c r="C217" s="1" t="n">
        <v>46066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29400-2025</t>
        </is>
      </c>
      <c r="B218" s="1" t="n">
        <v>45824.61387731481</v>
      </c>
      <c r="C218" s="1" t="n">
        <v>46066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43938-2023</t>
        </is>
      </c>
      <c r="B219" s="1" t="n">
        <v>45187</v>
      </c>
      <c r="C219" s="1" t="n">
        <v>46066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53167-2023</t>
        </is>
      </c>
      <c r="B220" s="1" t="n">
        <v>45229</v>
      </c>
      <c r="C220" s="1" t="n">
        <v>46066</v>
      </c>
      <c r="D220" t="inlineStr">
        <is>
          <t>ÖSTERGÖTLANDS LÄN</t>
        </is>
      </c>
      <c r="E220" t="inlineStr">
        <is>
          <t>ÅTVIDABERG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29574-2025</t>
        </is>
      </c>
      <c r="B221" s="1" t="n">
        <v>45825</v>
      </c>
      <c r="C221" s="1" t="n">
        <v>46066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30361-2025</t>
        </is>
      </c>
      <c r="B222" s="1" t="n">
        <v>45827</v>
      </c>
      <c r="C222" s="1" t="n">
        <v>46066</v>
      </c>
      <c r="D222" t="inlineStr">
        <is>
          <t>ÖSTERGÖTLANDS LÄN</t>
        </is>
      </c>
      <c r="E222" t="inlineStr">
        <is>
          <t>ÅTVIDABERG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30362-2025</t>
        </is>
      </c>
      <c r="B223" s="1" t="n">
        <v>45827</v>
      </c>
      <c r="C223" s="1" t="n">
        <v>46066</v>
      </c>
      <c r="D223" t="inlineStr">
        <is>
          <t>ÖSTERGÖTLANDS LÄN</t>
        </is>
      </c>
      <c r="E223" t="inlineStr">
        <is>
          <t>ÅTVIDABERG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52235-2023</t>
        </is>
      </c>
      <c r="B224" s="1" t="n">
        <v>45224</v>
      </c>
      <c r="C224" s="1" t="n">
        <v>46066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11592-2025</t>
        </is>
      </c>
      <c r="B225" s="1" t="n">
        <v>45727.41440972222</v>
      </c>
      <c r="C225" s="1" t="n">
        <v>46066</v>
      </c>
      <c r="D225" t="inlineStr">
        <is>
          <t>ÖSTERGÖTLANDS LÄN</t>
        </is>
      </c>
      <c r="E225" t="inlineStr">
        <is>
          <t>ÅTVIDABERG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30513-2025</t>
        </is>
      </c>
      <c r="B226" s="1" t="n">
        <v>45831</v>
      </c>
      <c r="C226" s="1" t="n">
        <v>46066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39190-2025</t>
        </is>
      </c>
      <c r="B227" s="1" t="n">
        <v>45888</v>
      </c>
      <c r="C227" s="1" t="n">
        <v>46066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29449-2025</t>
        </is>
      </c>
      <c r="B228" s="1" t="n">
        <v>45824</v>
      </c>
      <c r="C228" s="1" t="n">
        <v>46066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53163-2023</t>
        </is>
      </c>
      <c r="B229" s="1" t="n">
        <v>45229</v>
      </c>
      <c r="C229" s="1" t="n">
        <v>46066</v>
      </c>
      <c r="D229" t="inlineStr">
        <is>
          <t>ÖSTERGÖTLANDS LÄN</t>
        </is>
      </c>
      <c r="E229" t="inlineStr">
        <is>
          <t>ÅTVIDABERG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31359-2025</t>
        </is>
      </c>
      <c r="B230" s="1" t="n">
        <v>45833.43495370371</v>
      </c>
      <c r="C230" s="1" t="n">
        <v>46066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31366-2025</t>
        </is>
      </c>
      <c r="B231" s="1" t="n">
        <v>45833.43892361111</v>
      </c>
      <c r="C231" s="1" t="n">
        <v>46066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31362-2025</t>
        </is>
      </c>
      <c r="B232" s="1" t="n">
        <v>45833.4369212963</v>
      </c>
      <c r="C232" s="1" t="n">
        <v>46066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31368-2025</t>
        </is>
      </c>
      <c r="B233" s="1" t="n">
        <v>45833.44028935185</v>
      </c>
      <c r="C233" s="1" t="n">
        <v>46066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31369-2025</t>
        </is>
      </c>
      <c r="B234" s="1" t="n">
        <v>45833</v>
      </c>
      <c r="C234" s="1" t="n">
        <v>46066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40261-2025</t>
        </is>
      </c>
      <c r="B235" s="1" t="n">
        <v>45895.33560185185</v>
      </c>
      <c r="C235" s="1" t="n">
        <v>46066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14198-2025</t>
        </is>
      </c>
      <c r="B236" s="1" t="n">
        <v>45740.56796296296</v>
      </c>
      <c r="C236" s="1" t="n">
        <v>46066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53158-2023</t>
        </is>
      </c>
      <c r="B237" s="1" t="n">
        <v>45229</v>
      </c>
      <c r="C237" s="1" t="n">
        <v>46066</v>
      </c>
      <c r="D237" t="inlineStr">
        <is>
          <t>ÖSTERGÖTLANDS LÄN</t>
        </is>
      </c>
      <c r="E237" t="inlineStr">
        <is>
          <t>ÅTVIDABERG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19961-2024</t>
        </is>
      </c>
      <c r="B238" s="1" t="n">
        <v>45433</v>
      </c>
      <c r="C238" s="1" t="n">
        <v>46066</v>
      </c>
      <c r="D238" t="inlineStr">
        <is>
          <t>ÖSTERGÖTLANDS LÄN</t>
        </is>
      </c>
      <c r="E238" t="inlineStr">
        <is>
          <t>ÅTVIDABERG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40623-2025</t>
        </is>
      </c>
      <c r="B239" s="1" t="n">
        <v>45896.58643518519</v>
      </c>
      <c r="C239" s="1" t="n">
        <v>46066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32741-2023</t>
        </is>
      </c>
      <c r="B240" s="1" t="n">
        <v>45122.39195601852</v>
      </c>
      <c r="C240" s="1" t="n">
        <v>46066</v>
      </c>
      <c r="D240" t="inlineStr">
        <is>
          <t>ÖSTERGÖTLANDS LÄN</t>
        </is>
      </c>
      <c r="E240" t="inlineStr">
        <is>
          <t>ÅTVIDABERG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32349-2025</t>
        </is>
      </c>
      <c r="B241" s="1" t="n">
        <v>45837.48210648148</v>
      </c>
      <c r="C241" s="1" t="n">
        <v>46066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40625-2025</t>
        </is>
      </c>
      <c r="B242" s="1" t="n">
        <v>45896.58768518519</v>
      </c>
      <c r="C242" s="1" t="n">
        <v>46066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40619-2025</t>
        </is>
      </c>
      <c r="B243" s="1" t="n">
        <v>45896.58465277778</v>
      </c>
      <c r="C243" s="1" t="n">
        <v>46066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40626-2025</t>
        </is>
      </c>
      <c r="B244" s="1" t="n">
        <v>45896.58913194444</v>
      </c>
      <c r="C244" s="1" t="n">
        <v>46066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41133-2025</t>
        </is>
      </c>
      <c r="B245" s="1" t="n">
        <v>45898</v>
      </c>
      <c r="C245" s="1" t="n">
        <v>46066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40978-2025</t>
        </is>
      </c>
      <c r="B246" s="1" t="n">
        <v>45898.28616898148</v>
      </c>
      <c r="C246" s="1" t="n">
        <v>46066</v>
      </c>
      <c r="D246" t="inlineStr">
        <is>
          <t>ÖSTERGÖTLANDS LÄN</t>
        </is>
      </c>
      <c r="E246" t="inlineStr">
        <is>
          <t>ÅTVIDABERG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40980-2025</t>
        </is>
      </c>
      <c r="B247" s="1" t="n">
        <v>45898.29173611111</v>
      </c>
      <c r="C247" s="1" t="n">
        <v>46066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19030-2023</t>
        </is>
      </c>
      <c r="B248" s="1" t="n">
        <v>45047</v>
      </c>
      <c r="C248" s="1" t="n">
        <v>46066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33278-2025</t>
        </is>
      </c>
      <c r="B249" s="1" t="n">
        <v>45840.70689814815</v>
      </c>
      <c r="C249" s="1" t="n">
        <v>46066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799-2025</t>
        </is>
      </c>
      <c r="B250" s="1" t="n">
        <v>45665.53457175926</v>
      </c>
      <c r="C250" s="1" t="n">
        <v>46066</v>
      </c>
      <c r="D250" t="inlineStr">
        <is>
          <t>ÖSTERGÖTLANDS LÄN</t>
        </is>
      </c>
      <c r="E250" t="inlineStr">
        <is>
          <t>ÅTVIDABERG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60513-2023</t>
        </is>
      </c>
      <c r="B251" s="1" t="n">
        <v>45259.64954861111</v>
      </c>
      <c r="C251" s="1" t="n">
        <v>46066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60514-2023</t>
        </is>
      </c>
      <c r="B252" s="1" t="n">
        <v>45259</v>
      </c>
      <c r="C252" s="1" t="n">
        <v>46066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11532-2025</t>
        </is>
      </c>
      <c r="B253" s="1" t="n">
        <v>45727.331875</v>
      </c>
      <c r="C253" s="1" t="n">
        <v>46066</v>
      </c>
      <c r="D253" t="inlineStr">
        <is>
          <t>ÖSTERGÖTLANDS LÄN</t>
        </is>
      </c>
      <c r="E253" t="inlineStr">
        <is>
          <t>ÅTVIDABERG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32743-2025</t>
        </is>
      </c>
      <c r="B254" s="1" t="n">
        <v>45839</v>
      </c>
      <c r="C254" s="1" t="n">
        <v>46066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13591-2025</t>
        </is>
      </c>
      <c r="B255" s="1" t="n">
        <v>45736.60052083333</v>
      </c>
      <c r="C255" s="1" t="n">
        <v>46066</v>
      </c>
      <c r="D255" t="inlineStr">
        <is>
          <t>ÖSTERGÖTLANDS LÄN</t>
        </is>
      </c>
      <c r="E255" t="inlineStr">
        <is>
          <t>ÅTVIDABERG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43391-2023</t>
        </is>
      </c>
      <c r="B256" s="1" t="n">
        <v>45183.87577546296</v>
      </c>
      <c r="C256" s="1" t="n">
        <v>46066</v>
      </c>
      <c r="D256" t="inlineStr">
        <is>
          <t>ÖSTERGÖTLANDS LÄN</t>
        </is>
      </c>
      <c r="E256" t="inlineStr">
        <is>
          <t>ÅTVIDABERG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6220-2023</t>
        </is>
      </c>
      <c r="B257" s="1" t="n">
        <v>44964</v>
      </c>
      <c r="C257" s="1" t="n">
        <v>46066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61550-2024</t>
        </is>
      </c>
      <c r="B258" s="1" t="n">
        <v>45646.60424768519</v>
      </c>
      <c r="C258" s="1" t="n">
        <v>46066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30891-2022</t>
        </is>
      </c>
      <c r="B259" s="1" t="n">
        <v>44767</v>
      </c>
      <c r="C259" s="1" t="n">
        <v>46066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52232-2023</t>
        </is>
      </c>
      <c r="B260" s="1" t="n">
        <v>45224.48658564815</v>
      </c>
      <c r="C260" s="1" t="n">
        <v>46066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32296-2021</t>
        </is>
      </c>
      <c r="B261" s="1" t="n">
        <v>44371</v>
      </c>
      <c r="C261" s="1" t="n">
        <v>46066</v>
      </c>
      <c r="D261" t="inlineStr">
        <is>
          <t>ÖSTERGÖTLANDS LÄN</t>
        </is>
      </c>
      <c r="E261" t="inlineStr">
        <is>
          <t>ÅTVIDABERG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42766-2024</t>
        </is>
      </c>
      <c r="B262" s="1" t="n">
        <v>45566.50620370371</v>
      </c>
      <c r="C262" s="1" t="n">
        <v>46066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710-2025</t>
        </is>
      </c>
      <c r="B263" s="1" t="n">
        <v>45665.3637962963</v>
      </c>
      <c r="C263" s="1" t="n">
        <v>46066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34700-2025</t>
        </is>
      </c>
      <c r="B264" s="1" t="n">
        <v>45848</v>
      </c>
      <c r="C264" s="1" t="n">
        <v>46066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50593-2021</t>
        </is>
      </c>
      <c r="B265" s="1" t="n">
        <v>44459</v>
      </c>
      <c r="C265" s="1" t="n">
        <v>46066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450-2023</t>
        </is>
      </c>
      <c r="B266" s="1" t="n">
        <v>44929.83774305556</v>
      </c>
      <c r="C266" s="1" t="n">
        <v>46066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23520-2022</t>
        </is>
      </c>
      <c r="B267" s="1" t="n">
        <v>44721</v>
      </c>
      <c r="C267" s="1" t="n">
        <v>46066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40535-2023</t>
        </is>
      </c>
      <c r="B268" s="1" t="n">
        <v>45170.43859953704</v>
      </c>
      <c r="C268" s="1" t="n">
        <v>46066</v>
      </c>
      <c r="D268" t="inlineStr">
        <is>
          <t>ÖSTERGÖTLANDS LÄN</t>
        </is>
      </c>
      <c r="E268" t="inlineStr">
        <is>
          <t>ÅTVIDABERG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43109-2025</t>
        </is>
      </c>
      <c r="B269" s="1" t="n">
        <v>45909</v>
      </c>
      <c r="C269" s="1" t="n">
        <v>46066</v>
      </c>
      <c r="D269" t="inlineStr">
        <is>
          <t>ÖSTERGÖTLANDS LÄN</t>
        </is>
      </c>
      <c r="E269" t="inlineStr">
        <is>
          <t>ÅTVIDABERG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5492-2024</t>
        </is>
      </c>
      <c r="B270" s="1" t="n">
        <v>45334.32820601852</v>
      </c>
      <c r="C270" s="1" t="n">
        <v>46066</v>
      </c>
      <c r="D270" t="inlineStr">
        <is>
          <t>ÖSTERGÖTLANDS LÄN</t>
        </is>
      </c>
      <c r="E270" t="inlineStr">
        <is>
          <t>ÅTVIDABERG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21465-2023</t>
        </is>
      </c>
      <c r="B271" s="1" t="n">
        <v>45058</v>
      </c>
      <c r="C271" s="1" t="n">
        <v>46066</v>
      </c>
      <c r="D271" t="inlineStr">
        <is>
          <t>ÖSTERGÖTLANDS LÄN</t>
        </is>
      </c>
      <c r="E271" t="inlineStr">
        <is>
          <t>ÅTVIDABERG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30895-2022</t>
        </is>
      </c>
      <c r="B272" s="1" t="n">
        <v>44767.63790509259</v>
      </c>
      <c r="C272" s="1" t="n">
        <v>46066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42818-2025</t>
        </is>
      </c>
      <c r="B273" s="1" t="n">
        <v>45908.56519675926</v>
      </c>
      <c r="C273" s="1" t="n">
        <v>46066</v>
      </c>
      <c r="D273" t="inlineStr">
        <is>
          <t>ÖSTERGÖTLANDS LÄN</t>
        </is>
      </c>
      <c r="E273" t="inlineStr">
        <is>
          <t>ÅTVIDABERG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9196-2024</t>
        </is>
      </c>
      <c r="B274" s="1" t="n">
        <v>45358.46060185185</v>
      </c>
      <c r="C274" s="1" t="n">
        <v>46066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4004-2024</t>
        </is>
      </c>
      <c r="B275" s="1" t="n">
        <v>45323</v>
      </c>
      <c r="C275" s="1" t="n">
        <v>46066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50811-2023</t>
        </is>
      </c>
      <c r="B276" s="1" t="n">
        <v>45217</v>
      </c>
      <c r="C276" s="1" t="n">
        <v>46066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33540-2023</t>
        </is>
      </c>
      <c r="B277" s="1" t="n">
        <v>45118</v>
      </c>
      <c r="C277" s="1" t="n">
        <v>46066</v>
      </c>
      <c r="D277" t="inlineStr">
        <is>
          <t>ÖSTERGÖTLANDS LÄN</t>
        </is>
      </c>
      <c r="E277" t="inlineStr">
        <is>
          <t>ÅTVIDABERG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11766-2023</t>
        </is>
      </c>
      <c r="B278" s="1" t="n">
        <v>44994</v>
      </c>
      <c r="C278" s="1" t="n">
        <v>46066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37520-2025</t>
        </is>
      </c>
      <c r="B279" s="1" t="n">
        <v>45877</v>
      </c>
      <c r="C279" s="1" t="n">
        <v>46066</v>
      </c>
      <c r="D279" t="inlineStr">
        <is>
          <t>ÖSTERGÖTLANDS LÄN</t>
        </is>
      </c>
      <c r="E279" t="inlineStr">
        <is>
          <t>ÅTVIDABERG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22878-2023</t>
        </is>
      </c>
      <c r="B280" s="1" t="n">
        <v>45072</v>
      </c>
      <c r="C280" s="1" t="n">
        <v>46066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37512-2025</t>
        </is>
      </c>
      <c r="B281" s="1" t="n">
        <v>45877</v>
      </c>
      <c r="C281" s="1" t="n">
        <v>46066</v>
      </c>
      <c r="D281" t="inlineStr">
        <is>
          <t>ÖSTERGÖTLANDS LÄN</t>
        </is>
      </c>
      <c r="E281" t="inlineStr">
        <is>
          <t>ÅTVIDABERG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37944-2025</t>
        </is>
      </c>
      <c r="B282" s="1" t="n">
        <v>45881.60783564814</v>
      </c>
      <c r="C282" s="1" t="n">
        <v>46066</v>
      </c>
      <c r="D282" t="inlineStr">
        <is>
          <t>ÖSTERGÖTLANDS LÄN</t>
        </is>
      </c>
      <c r="E282" t="inlineStr">
        <is>
          <t>ÅTVIDABERG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52201-2024</t>
        </is>
      </c>
      <c r="B283" s="1" t="n">
        <v>45608</v>
      </c>
      <c r="C283" s="1" t="n">
        <v>46066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52216-2024</t>
        </is>
      </c>
      <c r="B284" s="1" t="n">
        <v>45608</v>
      </c>
      <c r="C284" s="1" t="n">
        <v>46066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1422-2023</t>
        </is>
      </c>
      <c r="B285" s="1" t="n">
        <v>44937</v>
      </c>
      <c r="C285" s="1" t="n">
        <v>46066</v>
      </c>
      <c r="D285" t="inlineStr">
        <is>
          <t>ÖSTERGÖTLANDS LÄN</t>
        </is>
      </c>
      <c r="E285" t="inlineStr">
        <is>
          <t>ÅTVIDABERG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43646-2025</t>
        </is>
      </c>
      <c r="B286" s="1" t="n">
        <v>45912</v>
      </c>
      <c r="C286" s="1" t="n">
        <v>46066</v>
      </c>
      <c r="D286" t="inlineStr">
        <is>
          <t>ÖSTERGÖTLANDS LÄN</t>
        </is>
      </c>
      <c r="E286" t="inlineStr">
        <is>
          <t>ÅTVIDABERG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48492-2023</t>
        </is>
      </c>
      <c r="B287" s="1" t="n">
        <v>45205</v>
      </c>
      <c r="C287" s="1" t="n">
        <v>46066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statliga verk och myndigheter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53234-2022</t>
        </is>
      </c>
      <c r="B288" s="1" t="n">
        <v>44876</v>
      </c>
      <c r="C288" s="1" t="n">
        <v>46066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23645-2023</t>
        </is>
      </c>
      <c r="B289" s="1" t="n">
        <v>45077.54380787037</v>
      </c>
      <c r="C289" s="1" t="n">
        <v>46066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1016-2023</t>
        </is>
      </c>
      <c r="B290" s="1" t="n">
        <v>44935</v>
      </c>
      <c r="C290" s="1" t="n">
        <v>46066</v>
      </c>
      <c r="D290" t="inlineStr">
        <is>
          <t>ÖSTERGÖTLANDS LÄN</t>
        </is>
      </c>
      <c r="E290" t="inlineStr">
        <is>
          <t>ÅTVIDABERG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7091-2024</t>
        </is>
      </c>
      <c r="B291" s="1" t="n">
        <v>45343.80733796296</v>
      </c>
      <c r="C291" s="1" t="n">
        <v>46066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25486-2021</t>
        </is>
      </c>
      <c r="B292" s="1" t="n">
        <v>44342</v>
      </c>
      <c r="C292" s="1" t="n">
        <v>46066</v>
      </c>
      <c r="D292" t="inlineStr">
        <is>
          <t>ÖSTERGÖTLANDS LÄN</t>
        </is>
      </c>
      <c r="E292" t="inlineStr">
        <is>
          <t>ÅTVIDABERG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44428-2025</t>
        </is>
      </c>
      <c r="B293" s="1" t="n">
        <v>45916.56863425926</v>
      </c>
      <c r="C293" s="1" t="n">
        <v>46066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44592-2025</t>
        </is>
      </c>
      <c r="B294" s="1" t="n">
        <v>45917.42744212963</v>
      </c>
      <c r="C294" s="1" t="n">
        <v>46066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44372-2025</t>
        </is>
      </c>
      <c r="B295" s="1" t="n">
        <v>45916.46465277778</v>
      </c>
      <c r="C295" s="1" t="n">
        <v>46066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44430-2025</t>
        </is>
      </c>
      <c r="B296" s="1" t="n">
        <v>45916.57045138889</v>
      </c>
      <c r="C296" s="1" t="n">
        <v>46066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7891-2025</t>
        </is>
      </c>
      <c r="B297" s="1" t="n">
        <v>45707.28776620371</v>
      </c>
      <c r="C297" s="1" t="n">
        <v>46066</v>
      </c>
      <c r="D297" t="inlineStr">
        <is>
          <t>ÖSTERGÖTLANDS LÄN</t>
        </is>
      </c>
      <c r="E297" t="inlineStr">
        <is>
          <t>ÅTVIDABERG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10690-2023</t>
        </is>
      </c>
      <c r="B298" s="1" t="n">
        <v>44988.56204861111</v>
      </c>
      <c r="C298" s="1" t="n">
        <v>46066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32041-2025</t>
        </is>
      </c>
      <c r="B299" s="1" t="n">
        <v>45835</v>
      </c>
      <c r="C299" s="1" t="n">
        <v>46066</v>
      </c>
      <c r="D299" t="inlineStr">
        <is>
          <t>ÖSTERGÖTLANDS LÄN</t>
        </is>
      </c>
      <c r="E299" t="inlineStr">
        <is>
          <t>ÅTVIDABERG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32061-2025</t>
        </is>
      </c>
      <c r="B300" s="1" t="n">
        <v>45835</v>
      </c>
      <c r="C300" s="1" t="n">
        <v>46066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6004-2025</t>
        </is>
      </c>
      <c r="B301" s="1" t="n">
        <v>45695.58439814814</v>
      </c>
      <c r="C301" s="1" t="n">
        <v>46066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32030-2025</t>
        </is>
      </c>
      <c r="B302" s="1" t="n">
        <v>45835</v>
      </c>
      <c r="C302" s="1" t="n">
        <v>46066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40292-2023</t>
        </is>
      </c>
      <c r="B303" s="1" t="n">
        <v>45169.5819675926</v>
      </c>
      <c r="C303" s="1" t="n">
        <v>46066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51633-2022</t>
        </is>
      </c>
      <c r="B304" s="1" t="n">
        <v>44872</v>
      </c>
      <c r="C304" s="1" t="n">
        <v>46066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801-2025</t>
        </is>
      </c>
      <c r="B305" s="1" t="n">
        <v>45665.53950231482</v>
      </c>
      <c r="C305" s="1" t="n">
        <v>46066</v>
      </c>
      <c r="D305" t="inlineStr">
        <is>
          <t>ÖSTERGÖTLANDS LÄN</t>
        </is>
      </c>
      <c r="E305" t="inlineStr">
        <is>
          <t>ÅTVIDABERG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45805-2025</t>
        </is>
      </c>
      <c r="B306" s="1" t="n">
        <v>45923.58244212963</v>
      </c>
      <c r="C306" s="1" t="n">
        <v>46066</v>
      </c>
      <c r="D306" t="inlineStr">
        <is>
          <t>ÖSTERGÖTLANDS LÄN</t>
        </is>
      </c>
      <c r="E306" t="inlineStr">
        <is>
          <t>ÅTVIDABERG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4260-2025</t>
        </is>
      </c>
      <c r="B307" s="1" t="n">
        <v>45685.61706018518</v>
      </c>
      <c r="C307" s="1" t="n">
        <v>46066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45814-2025</t>
        </is>
      </c>
      <c r="B308" s="1" t="n">
        <v>45923.59025462963</v>
      </c>
      <c r="C308" s="1" t="n">
        <v>46066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38105-2022</t>
        </is>
      </c>
      <c r="B309" s="1" t="n">
        <v>44812.23584490741</v>
      </c>
      <c r="C309" s="1" t="n">
        <v>46066</v>
      </c>
      <c r="D309" t="inlineStr">
        <is>
          <t>ÖSTERGÖTLANDS LÄN</t>
        </is>
      </c>
      <c r="E309" t="inlineStr">
        <is>
          <t>ÅTVIDABERG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65573-2021</t>
        </is>
      </c>
      <c r="B310" s="1" t="n">
        <v>44516</v>
      </c>
      <c r="C310" s="1" t="n">
        <v>46066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28878-2023</t>
        </is>
      </c>
      <c r="B311" s="1" t="n">
        <v>45104</v>
      </c>
      <c r="C311" s="1" t="n">
        <v>46066</v>
      </c>
      <c r="D311" t="inlineStr">
        <is>
          <t>ÖSTERGÖTLANDS LÄN</t>
        </is>
      </c>
      <c r="E311" t="inlineStr">
        <is>
          <t>ÅTVIDABERG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45931-2025</t>
        </is>
      </c>
      <c r="B312" s="1" t="n">
        <v>45923.89001157408</v>
      </c>
      <c r="C312" s="1" t="n">
        <v>46066</v>
      </c>
      <c r="D312" t="inlineStr">
        <is>
          <t>ÖSTERGÖTLANDS LÄN</t>
        </is>
      </c>
      <c r="E312" t="inlineStr">
        <is>
          <t>ÅTVIDABERG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45933-2025</t>
        </is>
      </c>
      <c r="B313" s="1" t="n">
        <v>45923.89930555555</v>
      </c>
      <c r="C313" s="1" t="n">
        <v>46066</v>
      </c>
      <c r="D313" t="inlineStr">
        <is>
          <t>ÖSTERGÖTLANDS LÄN</t>
        </is>
      </c>
      <c r="E313" t="inlineStr">
        <is>
          <t>ÅTVIDABERG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45960-2025</t>
        </is>
      </c>
      <c r="B314" s="1" t="n">
        <v>45924.34709490741</v>
      </c>
      <c r="C314" s="1" t="n">
        <v>46066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28876-2023</t>
        </is>
      </c>
      <c r="B315" s="1" t="n">
        <v>45104</v>
      </c>
      <c r="C315" s="1" t="n">
        <v>46066</v>
      </c>
      <c r="D315" t="inlineStr">
        <is>
          <t>ÖSTERGÖTLANDS LÄN</t>
        </is>
      </c>
      <c r="E315" t="inlineStr">
        <is>
          <t>ÅTVIDABERG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45932-2025</t>
        </is>
      </c>
      <c r="B316" s="1" t="n">
        <v>45923.89409722222</v>
      </c>
      <c r="C316" s="1" t="n">
        <v>46066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46807-2025</t>
        </is>
      </c>
      <c r="B317" s="1" t="n">
        <v>45926.68689814815</v>
      </c>
      <c r="C317" s="1" t="n">
        <v>46066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43056-2022</t>
        </is>
      </c>
      <c r="B318" s="1" t="n">
        <v>44833.62520833333</v>
      </c>
      <c r="C318" s="1" t="n">
        <v>46066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46804-2025</t>
        </is>
      </c>
      <c r="B319" s="1" t="n">
        <v>45926.67751157407</v>
      </c>
      <c r="C319" s="1" t="n">
        <v>46066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39837-2023</t>
        </is>
      </c>
      <c r="B320" s="1" t="n">
        <v>45168</v>
      </c>
      <c r="C320" s="1" t="n">
        <v>46066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15911-2023</t>
        </is>
      </c>
      <c r="B321" s="1" t="n">
        <v>45022</v>
      </c>
      <c r="C321" s="1" t="n">
        <v>46066</v>
      </c>
      <c r="D321" t="inlineStr">
        <is>
          <t>ÖSTERGÖTLANDS LÄN</t>
        </is>
      </c>
      <c r="E321" t="inlineStr">
        <is>
          <t>ÅTVIDABERG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47964-2025</t>
        </is>
      </c>
      <c r="B322" s="1" t="n">
        <v>45932.59591435185</v>
      </c>
      <c r="C322" s="1" t="n">
        <v>46066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28362-2024</t>
        </is>
      </c>
      <c r="B323" s="1" t="n">
        <v>45477</v>
      </c>
      <c r="C323" s="1" t="n">
        <v>46066</v>
      </c>
      <c r="D323" t="inlineStr">
        <is>
          <t>ÖSTERGÖTLANDS LÄN</t>
        </is>
      </c>
      <c r="E323" t="inlineStr">
        <is>
          <t>ÅTVIDABERG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1680-2023</t>
        </is>
      </c>
      <c r="B324" s="1" t="n">
        <v>44938.39666666667</v>
      </c>
      <c r="C324" s="1" t="n">
        <v>46066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9097-2025</t>
        </is>
      </c>
      <c r="B325" s="1" t="n">
        <v>45713.68298611111</v>
      </c>
      <c r="C325" s="1" t="n">
        <v>46066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48917-2025</t>
        </is>
      </c>
      <c r="B326" s="1" t="n">
        <v>45937.49260416667</v>
      </c>
      <c r="C326" s="1" t="n">
        <v>46066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49499-2025</t>
        </is>
      </c>
      <c r="B327" s="1" t="n">
        <v>45939.36716435185</v>
      </c>
      <c r="C327" s="1" t="n">
        <v>46066</v>
      </c>
      <c r="D327" t="inlineStr">
        <is>
          <t>ÖSTERGÖTLANDS LÄN</t>
        </is>
      </c>
      <c r="E327" t="inlineStr">
        <is>
          <t>ÅTVIDABERG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16892-2021</t>
        </is>
      </c>
      <c r="B328" s="1" t="n">
        <v>44294</v>
      </c>
      <c r="C328" s="1" t="n">
        <v>46066</v>
      </c>
      <c r="D328" t="inlineStr">
        <is>
          <t>ÖSTERGÖTLANDS LÄN</t>
        </is>
      </c>
      <c r="E328" t="inlineStr">
        <is>
          <t>ÅTVIDABERG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34063-2022</t>
        </is>
      </c>
      <c r="B329" s="1" t="n">
        <v>44791</v>
      </c>
      <c r="C329" s="1" t="n">
        <v>46066</v>
      </c>
      <c r="D329" t="inlineStr">
        <is>
          <t>ÖSTERGÖTLANDS LÄN</t>
        </is>
      </c>
      <c r="E329" t="inlineStr">
        <is>
          <t>ÅTVIDABERG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1722-2023</t>
        </is>
      </c>
      <c r="B330" s="1" t="n">
        <v>44938.46847222222</v>
      </c>
      <c r="C330" s="1" t="n">
        <v>46066</v>
      </c>
      <c r="D330" t="inlineStr">
        <is>
          <t>ÖSTERGÖTLANDS LÄN</t>
        </is>
      </c>
      <c r="E330" t="inlineStr">
        <is>
          <t>ÅTVIDABERG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49658-2025</t>
        </is>
      </c>
      <c r="B331" s="1" t="n">
        <v>45938</v>
      </c>
      <c r="C331" s="1" t="n">
        <v>46066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50000-2025</t>
        </is>
      </c>
      <c r="B332" s="1" t="n">
        <v>45943.338125</v>
      </c>
      <c r="C332" s="1" t="n">
        <v>46066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53173-2023</t>
        </is>
      </c>
      <c r="B333" s="1" t="n">
        <v>45229</v>
      </c>
      <c r="C333" s="1" t="n">
        <v>46066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10717-2023</t>
        </is>
      </c>
      <c r="B334" s="1" t="n">
        <v>44988.64733796296</v>
      </c>
      <c r="C334" s="1" t="n">
        <v>46066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397-2024</t>
        </is>
      </c>
      <c r="B335" s="1" t="n">
        <v>45296</v>
      </c>
      <c r="C335" s="1" t="n">
        <v>46066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12825-2024</t>
        </is>
      </c>
      <c r="B336" s="1" t="n">
        <v>45384.68508101852</v>
      </c>
      <c r="C336" s="1" t="n">
        <v>46066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49674-2025</t>
        </is>
      </c>
      <c r="B337" s="1" t="n">
        <v>45938</v>
      </c>
      <c r="C337" s="1" t="n">
        <v>46066</v>
      </c>
      <c r="D337" t="inlineStr">
        <is>
          <t>ÖSTERGÖTLANDS LÄN</t>
        </is>
      </c>
      <c r="E337" t="inlineStr">
        <is>
          <t>ÅTVIDABERG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50363-2025</t>
        </is>
      </c>
      <c r="B338" s="1" t="n">
        <v>45944.56730324074</v>
      </c>
      <c r="C338" s="1" t="n">
        <v>46066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50251-2025</t>
        </is>
      </c>
      <c r="B339" s="1" t="n">
        <v>45944.32471064815</v>
      </c>
      <c r="C339" s="1" t="n">
        <v>46066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50870-2025</t>
        </is>
      </c>
      <c r="B340" s="1" t="n">
        <v>45946.60359953704</v>
      </c>
      <c r="C340" s="1" t="n">
        <v>46066</v>
      </c>
      <c r="D340" t="inlineStr">
        <is>
          <t>ÖSTERGÖTLANDS LÄN</t>
        </is>
      </c>
      <c r="E340" t="inlineStr">
        <is>
          <t>ÅTVIDABERG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50757-2025</t>
        </is>
      </c>
      <c r="B341" s="1" t="n">
        <v>45946.41390046296</v>
      </c>
      <c r="C341" s="1" t="n">
        <v>46066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20.4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3633-2022</t>
        </is>
      </c>
      <c r="B342" s="1" t="n">
        <v>44586</v>
      </c>
      <c r="C342" s="1" t="n">
        <v>46066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41805-2023</t>
        </is>
      </c>
      <c r="B343" s="1" t="n">
        <v>45176.51664351852</v>
      </c>
      <c r="C343" s="1" t="n">
        <v>46066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50830-2025</t>
        </is>
      </c>
      <c r="B344" s="1" t="n">
        <v>45946.55326388889</v>
      </c>
      <c r="C344" s="1" t="n">
        <v>46066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50971-2025</t>
        </is>
      </c>
      <c r="B345" s="1" t="n">
        <v>45947.30487268518</v>
      </c>
      <c r="C345" s="1" t="n">
        <v>46066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14180-2025</t>
        </is>
      </c>
      <c r="B346" s="1" t="n">
        <v>45740.53533564815</v>
      </c>
      <c r="C346" s="1" t="n">
        <v>46066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17428-2024</t>
        </is>
      </c>
      <c r="B347" s="1" t="n">
        <v>45415.31837962963</v>
      </c>
      <c r="C347" s="1" t="n">
        <v>46066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51746-2025</t>
        </is>
      </c>
      <c r="B348" s="1" t="n">
        <v>45951.61362268519</v>
      </c>
      <c r="C348" s="1" t="n">
        <v>46066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51753-2025</t>
        </is>
      </c>
      <c r="B349" s="1" t="n">
        <v>45951.61917824074</v>
      </c>
      <c r="C349" s="1" t="n">
        <v>46066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51744-2025</t>
        </is>
      </c>
      <c r="B350" s="1" t="n">
        <v>45951.60975694445</v>
      </c>
      <c r="C350" s="1" t="n">
        <v>46066</v>
      </c>
      <c r="D350" t="inlineStr">
        <is>
          <t>ÖSTERGÖTLANDS LÄN</t>
        </is>
      </c>
      <c r="E350" t="inlineStr">
        <is>
          <t>ÅTVIDABERG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33542-2023</t>
        </is>
      </c>
      <c r="B351" s="1" t="n">
        <v>45118</v>
      </c>
      <c r="C351" s="1" t="n">
        <v>46066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51707-2024</t>
        </is>
      </c>
      <c r="B352" s="1" t="n">
        <v>45607.36407407407</v>
      </c>
      <c r="C352" s="1" t="n">
        <v>46066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51709-2024</t>
        </is>
      </c>
      <c r="B353" s="1" t="n">
        <v>45607.36740740741</v>
      </c>
      <c r="C353" s="1" t="n">
        <v>46066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51713-2024</t>
        </is>
      </c>
      <c r="B354" s="1" t="n">
        <v>45607.37271990741</v>
      </c>
      <c r="C354" s="1" t="n">
        <v>46066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43872-2023</t>
        </is>
      </c>
      <c r="B355" s="1" t="n">
        <v>45187</v>
      </c>
      <c r="C355" s="1" t="n">
        <v>46066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38966-2021</t>
        </is>
      </c>
      <c r="B356" s="1" t="n">
        <v>44411</v>
      </c>
      <c r="C356" s="1" t="n">
        <v>46066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17431-2024</t>
        </is>
      </c>
      <c r="B357" s="1" t="n">
        <v>45415.32329861111</v>
      </c>
      <c r="C357" s="1" t="n">
        <v>46066</v>
      </c>
      <c r="D357" t="inlineStr">
        <is>
          <t>ÖSTERGÖTLANDS LÄN</t>
        </is>
      </c>
      <c r="E357" t="inlineStr">
        <is>
          <t>ÅTVIDABERG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46748-2022</t>
        </is>
      </c>
      <c r="B358" s="1" t="n">
        <v>44851</v>
      </c>
      <c r="C358" s="1" t="n">
        <v>46066</v>
      </c>
      <c r="D358" t="inlineStr">
        <is>
          <t>ÖSTERGÖTLANDS LÄN</t>
        </is>
      </c>
      <c r="E358" t="inlineStr">
        <is>
          <t>ÅTVIDABERG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31929-2022</t>
        </is>
      </c>
      <c r="B359" s="1" t="n">
        <v>44777</v>
      </c>
      <c r="C359" s="1" t="n">
        <v>46066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31953-2022</t>
        </is>
      </c>
      <c r="B360" s="1" t="n">
        <v>44777</v>
      </c>
      <c r="C360" s="1" t="n">
        <v>46066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50810-2023</t>
        </is>
      </c>
      <c r="B361" s="1" t="n">
        <v>45217</v>
      </c>
      <c r="C361" s="1" t="n">
        <v>46066</v>
      </c>
      <c r="D361" t="inlineStr">
        <is>
          <t>ÖSTERGÖTLANDS LÄN</t>
        </is>
      </c>
      <c r="E361" t="inlineStr">
        <is>
          <t>ÅTVIDABERG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19036-2023</t>
        </is>
      </c>
      <c r="B362" s="1" t="n">
        <v>45047</v>
      </c>
      <c r="C362" s="1" t="n">
        <v>46066</v>
      </c>
      <c r="D362" t="inlineStr">
        <is>
          <t>ÖSTERGÖTLANDS LÄN</t>
        </is>
      </c>
      <c r="E362" t="inlineStr">
        <is>
          <t>ÅTVIDABERG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17765-2025</t>
        </is>
      </c>
      <c r="B363" s="1" t="n">
        <v>45758.50152777778</v>
      </c>
      <c r="C363" s="1" t="n">
        <v>46066</v>
      </c>
      <c r="D363" t="inlineStr">
        <is>
          <t>ÖSTERGÖTLANDS LÄN</t>
        </is>
      </c>
      <c r="E363" t="inlineStr">
        <is>
          <t>ÅTVIDABERG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49146-2023</t>
        </is>
      </c>
      <c r="B364" s="1" t="n">
        <v>45204</v>
      </c>
      <c r="C364" s="1" t="n">
        <v>46066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52390-2025</t>
        </is>
      </c>
      <c r="B365" s="1" t="n">
        <v>45954.33555555555</v>
      </c>
      <c r="C365" s="1" t="n">
        <v>46066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377-2022</t>
        </is>
      </c>
      <c r="B366" s="1" t="n">
        <v>44565.64885416667</v>
      </c>
      <c r="C366" s="1" t="n">
        <v>46066</v>
      </c>
      <c r="D366" t="inlineStr">
        <is>
          <t>ÖSTERGÖTLANDS LÄN</t>
        </is>
      </c>
      <c r="E366" t="inlineStr">
        <is>
          <t>ÅTVIDABERG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72398-2021</t>
        </is>
      </c>
      <c r="B367" s="1" t="n">
        <v>44545</v>
      </c>
      <c r="C367" s="1" t="n">
        <v>46066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52797-2025</t>
        </is>
      </c>
      <c r="B368" s="1" t="n">
        <v>45957.43980324074</v>
      </c>
      <c r="C368" s="1" t="n">
        <v>46066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432-2025</t>
        </is>
      </c>
      <c r="B369" s="1" t="n">
        <v>45664.36682870371</v>
      </c>
      <c r="C369" s="1" t="n">
        <v>46066</v>
      </c>
      <c r="D369" t="inlineStr">
        <is>
          <t>ÖSTERGÖTLANDS LÄN</t>
        </is>
      </c>
      <c r="E369" t="inlineStr">
        <is>
          <t>ÅTVIDABERG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53209-2025</t>
        </is>
      </c>
      <c r="B370" s="1" t="n">
        <v>45958.59449074074</v>
      </c>
      <c r="C370" s="1" t="n">
        <v>46066</v>
      </c>
      <c r="D370" t="inlineStr">
        <is>
          <t>ÖSTERGÖTLANDS LÄN</t>
        </is>
      </c>
      <c r="E370" t="inlineStr">
        <is>
          <t>ÅTVIDABERG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53208-2025</t>
        </is>
      </c>
      <c r="B371" s="1" t="n">
        <v>45958.59222222222</v>
      </c>
      <c r="C371" s="1" t="n">
        <v>46066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65828-2021</t>
        </is>
      </c>
      <c r="B372" s="1" t="n">
        <v>44517</v>
      </c>
      <c r="C372" s="1" t="n">
        <v>46066</v>
      </c>
      <c r="D372" t="inlineStr">
        <is>
          <t>ÖSTERGÖTLANDS LÄN</t>
        </is>
      </c>
      <c r="E372" t="inlineStr">
        <is>
          <t>ÅTVIDABERG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2030-2024</t>
        </is>
      </c>
      <c r="B373" s="1" t="n">
        <v>45308.76549768518</v>
      </c>
      <c r="C373" s="1" t="n">
        <v>46066</v>
      </c>
      <c r="D373" t="inlineStr">
        <is>
          <t>ÖSTERGÖTLANDS LÄN</t>
        </is>
      </c>
      <c r="E373" t="inlineStr">
        <is>
          <t>ÅTVIDABERG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13078-2025</t>
        </is>
      </c>
      <c r="B374" s="1" t="n">
        <v>45734.62297453704</v>
      </c>
      <c r="C374" s="1" t="n">
        <v>46066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1710-2023</t>
        </is>
      </c>
      <c r="B375" s="1" t="n">
        <v>44938</v>
      </c>
      <c r="C375" s="1" t="n">
        <v>46066</v>
      </c>
      <c r="D375" t="inlineStr">
        <is>
          <t>ÖSTERGÖTLANDS LÄN</t>
        </is>
      </c>
      <c r="E375" t="inlineStr">
        <is>
          <t>ÅTVIDABERG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18193-2025</t>
        </is>
      </c>
      <c r="B376" s="1" t="n">
        <v>45761</v>
      </c>
      <c r="C376" s="1" t="n">
        <v>46066</v>
      </c>
      <c r="D376" t="inlineStr">
        <is>
          <t>ÖSTERGÖTLANDS LÄN</t>
        </is>
      </c>
      <c r="E376" t="inlineStr">
        <is>
          <t>ÅTVIDABERG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53310-2025</t>
        </is>
      </c>
      <c r="B377" s="1" t="n">
        <v>45959.34399305555</v>
      </c>
      <c r="C377" s="1" t="n">
        <v>46066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18004-2023</t>
        </is>
      </c>
      <c r="B378" s="1" t="n">
        <v>45040.55646990741</v>
      </c>
      <c r="C378" s="1" t="n">
        <v>46066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40219-2021</t>
        </is>
      </c>
      <c r="B379" s="1" t="n">
        <v>44419</v>
      </c>
      <c r="C379" s="1" t="n">
        <v>46066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9256-2023</t>
        </is>
      </c>
      <c r="B380" s="1" t="n">
        <v>44980</v>
      </c>
      <c r="C380" s="1" t="n">
        <v>46066</v>
      </c>
      <c r="D380" t="inlineStr">
        <is>
          <t>ÖSTERGÖTLANDS LÄN</t>
        </is>
      </c>
      <c r="E380" t="inlineStr">
        <is>
          <t>ÅTVIDABERG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33718-2022</t>
        </is>
      </c>
      <c r="B381" s="1" t="n">
        <v>44789</v>
      </c>
      <c r="C381" s="1" t="n">
        <v>46066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29909-2023</t>
        </is>
      </c>
      <c r="B382" s="1" t="n">
        <v>45107.66479166667</v>
      </c>
      <c r="C382" s="1" t="n">
        <v>46066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2178-2023</t>
        </is>
      </c>
      <c r="B383" s="1" t="n">
        <v>44942</v>
      </c>
      <c r="C383" s="1" t="n">
        <v>46066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21298-2024</t>
        </is>
      </c>
      <c r="B384" s="1" t="n">
        <v>45440.66909722222</v>
      </c>
      <c r="C384" s="1" t="n">
        <v>46066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26592-2023</t>
        </is>
      </c>
      <c r="B385" s="1" t="n">
        <v>45092</v>
      </c>
      <c r="C385" s="1" t="n">
        <v>46066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12569-2024</t>
        </is>
      </c>
      <c r="B386" s="1" t="n">
        <v>45379</v>
      </c>
      <c r="C386" s="1" t="n">
        <v>46066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15538-2025</t>
        </is>
      </c>
      <c r="B387" s="1" t="n">
        <v>45747.64530092593</v>
      </c>
      <c r="C387" s="1" t="n">
        <v>46066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2944-2024</t>
        </is>
      </c>
      <c r="B388" s="1" t="n">
        <v>45315.62240740741</v>
      </c>
      <c r="C388" s="1" t="n">
        <v>46066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72696-2021</t>
        </is>
      </c>
      <c r="B389" s="1" t="n">
        <v>44546</v>
      </c>
      <c r="C389" s="1" t="n">
        <v>46066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58172-2023</t>
        </is>
      </c>
      <c r="B390" s="1" t="n">
        <v>45250.39884259259</v>
      </c>
      <c r="C390" s="1" t="n">
        <v>46066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56591-2025</t>
        </is>
      </c>
      <c r="B391" s="1" t="n">
        <v>45975.56467592593</v>
      </c>
      <c r="C391" s="1" t="n">
        <v>46066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Kyrkan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2031-2024</t>
        </is>
      </c>
      <c r="B392" s="1" t="n">
        <v>45308.76643518519</v>
      </c>
      <c r="C392" s="1" t="n">
        <v>46066</v>
      </c>
      <c r="D392" t="inlineStr">
        <is>
          <t>ÖSTERGÖTLANDS LÄN</t>
        </is>
      </c>
      <c r="E392" t="inlineStr">
        <is>
          <t>ÅTVIDABERG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16974-2025</t>
        </is>
      </c>
      <c r="B393" s="1" t="n">
        <v>45755.47313657407</v>
      </c>
      <c r="C393" s="1" t="n">
        <v>46066</v>
      </c>
      <c r="D393" t="inlineStr">
        <is>
          <t>ÖSTERGÖTLANDS LÄN</t>
        </is>
      </c>
      <c r="E393" t="inlineStr">
        <is>
          <t>ÅTVIDABERG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40160-2024</t>
        </is>
      </c>
      <c r="B394" s="1" t="n">
        <v>45554.54119212963</v>
      </c>
      <c r="C394" s="1" t="n">
        <v>46066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62136-2023</t>
        </is>
      </c>
      <c r="B395" s="1" t="n">
        <v>45267.36078703704</v>
      </c>
      <c r="C395" s="1" t="n">
        <v>46066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23530-2022</t>
        </is>
      </c>
      <c r="B396" s="1" t="n">
        <v>44721</v>
      </c>
      <c r="C396" s="1" t="n">
        <v>46066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11882-2023</t>
        </is>
      </c>
      <c r="B397" s="1" t="n">
        <v>44995</v>
      </c>
      <c r="C397" s="1" t="n">
        <v>46066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38805-2021</t>
        </is>
      </c>
      <c r="B398" s="1" t="n">
        <v>44410</v>
      </c>
      <c r="C398" s="1" t="n">
        <v>46066</v>
      </c>
      <c r="D398" t="inlineStr">
        <is>
          <t>ÖSTERGÖTLANDS LÄN</t>
        </is>
      </c>
      <c r="E398" t="inlineStr">
        <is>
          <t>ÅTVIDABERG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23517-2022</t>
        </is>
      </c>
      <c r="B399" s="1" t="n">
        <v>44721</v>
      </c>
      <c r="C399" s="1" t="n">
        <v>46066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53004-2023</t>
        </is>
      </c>
      <c r="B400" s="1" t="n">
        <v>45222</v>
      </c>
      <c r="C400" s="1" t="n">
        <v>46066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48580-2023</t>
        </is>
      </c>
      <c r="B401" s="1" t="n">
        <v>45208.47564814815</v>
      </c>
      <c r="C401" s="1" t="n">
        <v>46066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6226-2023</t>
        </is>
      </c>
      <c r="B402" s="1" t="n">
        <v>44964.8993287037</v>
      </c>
      <c r="C402" s="1" t="n">
        <v>46066</v>
      </c>
      <c r="D402" t="inlineStr">
        <is>
          <t>ÖSTERGÖTLANDS LÄN</t>
        </is>
      </c>
      <c r="E402" t="inlineStr">
        <is>
          <t>ÅTVIDABERG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24298-2024</t>
        </is>
      </c>
      <c r="B403" s="1" t="n">
        <v>45457</v>
      </c>
      <c r="C403" s="1" t="n">
        <v>46066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15450-2025</t>
        </is>
      </c>
      <c r="B404" s="1" t="n">
        <v>45747.48892361111</v>
      </c>
      <c r="C404" s="1" t="n">
        <v>46066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4698-2025</t>
        </is>
      </c>
      <c r="B405" s="1" t="n">
        <v>45688.36620370371</v>
      </c>
      <c r="C405" s="1" t="n">
        <v>46066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21276-2024</t>
        </is>
      </c>
      <c r="B406" s="1" t="n">
        <v>45440.64967592592</v>
      </c>
      <c r="C406" s="1" t="n">
        <v>46066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58083-2025</t>
        </is>
      </c>
      <c r="B407" s="1" t="n">
        <v>45982.56547453703</v>
      </c>
      <c r="C407" s="1" t="n">
        <v>46066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43058-2022</t>
        </is>
      </c>
      <c r="B408" s="1" t="n">
        <v>44833.62730324074</v>
      </c>
      <c r="C408" s="1" t="n">
        <v>46066</v>
      </c>
      <c r="D408" t="inlineStr">
        <is>
          <t>ÖSTERGÖTLANDS LÄN</t>
        </is>
      </c>
      <c r="E408" t="inlineStr">
        <is>
          <t>ÅTVIDABERG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58064-2025</t>
        </is>
      </c>
      <c r="B409" s="1" t="n">
        <v>45982</v>
      </c>
      <c r="C409" s="1" t="n">
        <v>46066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58062-2025</t>
        </is>
      </c>
      <c r="B410" s="1" t="n">
        <v>45982</v>
      </c>
      <c r="C410" s="1" t="n">
        <v>46066</v>
      </c>
      <c r="D410" t="inlineStr">
        <is>
          <t>ÖSTERGÖTLANDS LÄN</t>
        </is>
      </c>
      <c r="E410" t="inlineStr">
        <is>
          <t>ÅTVIDABERG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680-2026</t>
        </is>
      </c>
      <c r="B411" s="1" t="n">
        <v>46029.60304398148</v>
      </c>
      <c r="C411" s="1" t="n">
        <v>46066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58927-2025</t>
        </is>
      </c>
      <c r="B412" s="1" t="n">
        <v>45986</v>
      </c>
      <c r="C412" s="1" t="n">
        <v>46066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674-2026</t>
        </is>
      </c>
      <c r="B413" s="1" t="n">
        <v>46029.59616898148</v>
      </c>
      <c r="C413" s="1" t="n">
        <v>46066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26373-2022</t>
        </is>
      </c>
      <c r="B414" s="1" t="n">
        <v>44735.66302083333</v>
      </c>
      <c r="C414" s="1" t="n">
        <v>46066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42784-2024</t>
        </is>
      </c>
      <c r="B415" s="1" t="n">
        <v>45566.53474537037</v>
      </c>
      <c r="C415" s="1" t="n">
        <v>46066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42786-2024</t>
        </is>
      </c>
      <c r="B416" s="1" t="n">
        <v>45566.53746527778</v>
      </c>
      <c r="C416" s="1" t="n">
        <v>46066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27170-2022</t>
        </is>
      </c>
      <c r="B417" s="1" t="n">
        <v>44741</v>
      </c>
      <c r="C417" s="1" t="n">
        <v>46066</v>
      </c>
      <c r="D417" t="inlineStr">
        <is>
          <t>ÖSTERGÖTLANDS LÄN</t>
        </is>
      </c>
      <c r="E417" t="inlineStr">
        <is>
          <t>ÅTVIDABERG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1710-2026</t>
        </is>
      </c>
      <c r="B418" s="1" t="n">
        <v>46034</v>
      </c>
      <c r="C418" s="1" t="n">
        <v>46066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60090-2025</t>
        </is>
      </c>
      <c r="B419" s="1" t="n">
        <v>45993.72018518519</v>
      </c>
      <c r="C419" s="1" t="n">
        <v>46066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38964-2021</t>
        </is>
      </c>
      <c r="B420" s="1" t="n">
        <v>44411</v>
      </c>
      <c r="C420" s="1" t="n">
        <v>46066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1503-2026</t>
        </is>
      </c>
      <c r="B421" s="1" t="n">
        <v>46034.33706018519</v>
      </c>
      <c r="C421" s="1" t="n">
        <v>46066</v>
      </c>
      <c r="D421" t="inlineStr">
        <is>
          <t>ÖSTERGÖTLANDS LÄN</t>
        </is>
      </c>
      <c r="E421" t="inlineStr">
        <is>
          <t>ÅTVIDABERG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1847-2026</t>
        </is>
      </c>
      <c r="B422" s="1" t="n">
        <v>46035.40722222222</v>
      </c>
      <c r="C422" s="1" t="n">
        <v>46066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1861-2026</t>
        </is>
      </c>
      <c r="B423" s="1" t="n">
        <v>46035.44307870371</v>
      </c>
      <c r="C423" s="1" t="n">
        <v>46066</v>
      </c>
      <c r="D423" t="inlineStr">
        <is>
          <t>ÖSTERGÖTLANDS LÄN</t>
        </is>
      </c>
      <c r="E423" t="inlineStr">
        <is>
          <t>ÅTVIDABERG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1869-2026</t>
        </is>
      </c>
      <c r="B424" s="1" t="n">
        <v>46035.45820601852</v>
      </c>
      <c r="C424" s="1" t="n">
        <v>46066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1996-2026</t>
        </is>
      </c>
      <c r="B425" s="1" t="n">
        <v>46035.6759375</v>
      </c>
      <c r="C425" s="1" t="n">
        <v>46066</v>
      </c>
      <c r="D425" t="inlineStr">
        <is>
          <t>ÖSTERGÖTLANDS LÄN</t>
        </is>
      </c>
      <c r="E425" t="inlineStr">
        <is>
          <t>ÅTVIDABERG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16480-2021</t>
        </is>
      </c>
      <c r="B426" s="1" t="n">
        <v>44293</v>
      </c>
      <c r="C426" s="1" t="n">
        <v>46066</v>
      </c>
      <c r="D426" t="inlineStr">
        <is>
          <t>ÖSTERGÖTLANDS LÄN</t>
        </is>
      </c>
      <c r="E426" t="inlineStr">
        <is>
          <t>ÅTVIDABERG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53992-2022</t>
        </is>
      </c>
      <c r="B427" s="1" t="n">
        <v>44881.3762037037</v>
      </c>
      <c r="C427" s="1" t="n">
        <v>46066</v>
      </c>
      <c r="D427" t="inlineStr">
        <is>
          <t>ÖSTERGÖTLANDS LÄN</t>
        </is>
      </c>
      <c r="E427" t="inlineStr">
        <is>
          <t>ÅTVIDABERG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743-2023</t>
        </is>
      </c>
      <c r="B428" s="1" t="n">
        <v>44931.33885416666</v>
      </c>
      <c r="C428" s="1" t="n">
        <v>46066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36320-2021</t>
        </is>
      </c>
      <c r="B429" s="1" t="n">
        <v>44390</v>
      </c>
      <c r="C429" s="1" t="n">
        <v>46066</v>
      </c>
      <c r="D429" t="inlineStr">
        <is>
          <t>ÖSTERGÖTLANDS LÄN</t>
        </is>
      </c>
      <c r="E429" t="inlineStr">
        <is>
          <t>ÅTVIDABERG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37728-2021</t>
        </is>
      </c>
      <c r="B430" s="1" t="n">
        <v>44400</v>
      </c>
      <c r="C430" s="1" t="n">
        <v>46066</v>
      </c>
      <c r="D430" t="inlineStr">
        <is>
          <t>ÖSTERGÖTLANDS LÄN</t>
        </is>
      </c>
      <c r="E430" t="inlineStr">
        <is>
          <t>ÅTVIDABERG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58963-2021</t>
        </is>
      </c>
      <c r="B431" s="1" t="n">
        <v>44489.94530092592</v>
      </c>
      <c r="C431" s="1" t="n">
        <v>46066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37179-2022</t>
        </is>
      </c>
      <c r="B432" s="1" t="n">
        <v>44806</v>
      </c>
      <c r="C432" s="1" t="n">
        <v>46066</v>
      </c>
      <c r="D432" t="inlineStr">
        <is>
          <t>ÖSTERGÖTLANDS LÄN</t>
        </is>
      </c>
      <c r="E432" t="inlineStr">
        <is>
          <t>ÅTVIDABERG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60959-2025</t>
        </is>
      </c>
      <c r="B433" s="1" t="n">
        <v>45999.6604050926</v>
      </c>
      <c r="C433" s="1" t="n">
        <v>46066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Kyrkan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27513-2023</t>
        </is>
      </c>
      <c r="B434" s="1" t="n">
        <v>45097</v>
      </c>
      <c r="C434" s="1" t="n">
        <v>46066</v>
      </c>
      <c r="D434" t="inlineStr">
        <is>
          <t>ÖSTERGÖTLANDS LÄN</t>
        </is>
      </c>
      <c r="E434" t="inlineStr">
        <is>
          <t>ÅTVIDABERG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61094-2025</t>
        </is>
      </c>
      <c r="B435" s="1" t="n">
        <v>46000.43576388889</v>
      </c>
      <c r="C435" s="1" t="n">
        <v>46066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3832-2026</t>
        </is>
      </c>
      <c r="B436" s="1" t="n">
        <v>46043.58969907407</v>
      </c>
      <c r="C436" s="1" t="n">
        <v>46066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50434-2024</t>
        </is>
      </c>
      <c r="B437" s="1" t="n">
        <v>45601.40877314815</v>
      </c>
      <c r="C437" s="1" t="n">
        <v>46066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3914-2026</t>
        </is>
      </c>
      <c r="B438" s="1" t="n">
        <v>46043.72383101852</v>
      </c>
      <c r="C438" s="1" t="n">
        <v>46066</v>
      </c>
      <c r="D438" t="inlineStr">
        <is>
          <t>ÖSTERGÖTLANDS LÄN</t>
        </is>
      </c>
      <c r="E438" t="inlineStr">
        <is>
          <t>ÅTVIDABERG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3739-2026</t>
        </is>
      </c>
      <c r="B439" s="1" t="n">
        <v>46043.53034722222</v>
      </c>
      <c r="C439" s="1" t="n">
        <v>46066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3910-2026</t>
        </is>
      </c>
      <c r="B440" s="1" t="n">
        <v>46043.71197916667</v>
      </c>
      <c r="C440" s="1" t="n">
        <v>46066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3911-2026</t>
        </is>
      </c>
      <c r="B441" s="1" t="n">
        <v>46043.71537037037</v>
      </c>
      <c r="C441" s="1" t="n">
        <v>46066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3917-2026</t>
        </is>
      </c>
      <c r="B442" s="1" t="n">
        <v>46043.73894675926</v>
      </c>
      <c r="C442" s="1" t="n">
        <v>46066</v>
      </c>
      <c r="D442" t="inlineStr">
        <is>
          <t>ÖSTERGÖTLANDS LÄN</t>
        </is>
      </c>
      <c r="E442" t="inlineStr">
        <is>
          <t>ÅTVIDABERG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3710-2026</t>
        </is>
      </c>
      <c r="B443" s="1" t="n">
        <v>46043.47976851852</v>
      </c>
      <c r="C443" s="1" t="n">
        <v>46066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37214-2023</t>
        </is>
      </c>
      <c r="B444" s="1" t="n">
        <v>45155</v>
      </c>
      <c r="C444" s="1" t="n">
        <v>46066</v>
      </c>
      <c r="D444" t="inlineStr">
        <is>
          <t>ÖSTERGÖTLANDS LÄN</t>
        </is>
      </c>
      <c r="E444" t="inlineStr">
        <is>
          <t>ÅTVIDABERG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52197-2023</t>
        </is>
      </c>
      <c r="B445" s="1" t="n">
        <v>45224.398125</v>
      </c>
      <c r="C445" s="1" t="n">
        <v>46066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28824-2023</t>
        </is>
      </c>
      <c r="B446" s="1" t="n">
        <v>45104.38790509259</v>
      </c>
      <c r="C446" s="1" t="n">
        <v>46066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3729-2026</t>
        </is>
      </c>
      <c r="B447" s="1" t="n">
        <v>46043.50650462963</v>
      </c>
      <c r="C447" s="1" t="n">
        <v>46066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21779-2024</t>
        </is>
      </c>
      <c r="B448" s="1" t="n">
        <v>45442.63207175926</v>
      </c>
      <c r="C448" s="1" t="n">
        <v>46066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3770-2026</t>
        </is>
      </c>
      <c r="B449" s="1" t="n">
        <v>46043</v>
      </c>
      <c r="C449" s="1" t="n">
        <v>46066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61815-2025</t>
        </is>
      </c>
      <c r="B450" s="1" t="n">
        <v>46003.29640046296</v>
      </c>
      <c r="C450" s="1" t="n">
        <v>46066</v>
      </c>
      <c r="D450" t="inlineStr">
        <is>
          <t>ÖSTERGÖTLANDS LÄN</t>
        </is>
      </c>
      <c r="E450" t="inlineStr">
        <is>
          <t>ÅTVIDABERG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4313-2026</t>
        </is>
      </c>
      <c r="B451" s="1" t="n">
        <v>46045.44604166667</v>
      </c>
      <c r="C451" s="1" t="n">
        <v>46066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18196-2025</t>
        </is>
      </c>
      <c r="B452" s="1" t="n">
        <v>45761.67773148148</v>
      </c>
      <c r="C452" s="1" t="n">
        <v>46066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3949-2026</t>
        </is>
      </c>
      <c r="B453" s="1" t="n">
        <v>46044.29256944444</v>
      </c>
      <c r="C453" s="1" t="n">
        <v>46066</v>
      </c>
      <c r="D453" t="inlineStr">
        <is>
          <t>ÖSTERGÖTLANDS LÄN</t>
        </is>
      </c>
      <c r="E453" t="inlineStr">
        <is>
          <t>ÅTVIDABERG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4401-2026</t>
        </is>
      </c>
      <c r="B454" s="1" t="n">
        <v>46045.58934027778</v>
      </c>
      <c r="C454" s="1" t="n">
        <v>46066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4400-2026</t>
        </is>
      </c>
      <c r="B455" s="1" t="n">
        <v>46045.58835648148</v>
      </c>
      <c r="C455" s="1" t="n">
        <v>46066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3950-2026</t>
        </is>
      </c>
      <c r="B456" s="1" t="n">
        <v>46044.29564814815</v>
      </c>
      <c r="C456" s="1" t="n">
        <v>46066</v>
      </c>
      <c r="D456" t="inlineStr">
        <is>
          <t>ÖSTERGÖTLANDS LÄN</t>
        </is>
      </c>
      <c r="E456" t="inlineStr">
        <is>
          <t>ÅTVIDABERG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4355-2026</t>
        </is>
      </c>
      <c r="B457" s="1" t="n">
        <v>46045.53561342593</v>
      </c>
      <c r="C457" s="1" t="n">
        <v>46066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3763-2026</t>
        </is>
      </c>
      <c r="B458" s="1" t="n">
        <v>46043</v>
      </c>
      <c r="C458" s="1" t="n">
        <v>46066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4962-2026</t>
        </is>
      </c>
      <c r="B459" s="1" t="n">
        <v>46049.31769675926</v>
      </c>
      <c r="C459" s="1" t="n">
        <v>46066</v>
      </c>
      <c r="D459" t="inlineStr">
        <is>
          <t>ÖSTERGÖTLANDS LÄN</t>
        </is>
      </c>
      <c r="E459" t="inlineStr">
        <is>
          <t>ÅTVIDABERG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4594-2026</t>
        </is>
      </c>
      <c r="B460" s="1" t="n">
        <v>46048.34472222222</v>
      </c>
      <c r="C460" s="1" t="n">
        <v>46066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62248-2025</t>
        </is>
      </c>
      <c r="B461" s="1" t="n">
        <v>46006.60688657407</v>
      </c>
      <c r="C461" s="1" t="n">
        <v>46066</v>
      </c>
      <c r="D461" t="inlineStr">
        <is>
          <t>ÖSTERGÖTLANDS LÄN</t>
        </is>
      </c>
      <c r="E461" t="inlineStr">
        <is>
          <t>ÅTVIDABERG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4585-2026</t>
        </is>
      </c>
      <c r="B462" s="1" t="n">
        <v>46048.33707175926</v>
      </c>
      <c r="C462" s="1" t="n">
        <v>46066</v>
      </c>
      <c r="D462" t="inlineStr">
        <is>
          <t>ÖSTERGÖTLANDS LÄN</t>
        </is>
      </c>
      <c r="E462" t="inlineStr">
        <is>
          <t>ÅTVIDABERG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4680-2026</t>
        </is>
      </c>
      <c r="B463" s="1" t="n">
        <v>46048.42853009259</v>
      </c>
      <c r="C463" s="1" t="n">
        <v>46066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50782-2022</t>
        </is>
      </c>
      <c r="B464" s="1" t="n">
        <v>44862</v>
      </c>
      <c r="C464" s="1" t="n">
        <v>46066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5070-2026</t>
        </is>
      </c>
      <c r="B465" s="1" t="n">
        <v>46049.50449074074</v>
      </c>
      <c r="C465" s="1" t="n">
        <v>46066</v>
      </c>
      <c r="D465" t="inlineStr">
        <is>
          <t>ÖSTERGÖTLANDS LÄN</t>
        </is>
      </c>
      <c r="E465" t="inlineStr">
        <is>
          <t>ÅTVIDABERG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5270-2026</t>
        </is>
      </c>
      <c r="B466" s="1" t="n">
        <v>46050.318125</v>
      </c>
      <c r="C466" s="1" t="n">
        <v>46066</v>
      </c>
      <c r="D466" t="inlineStr">
        <is>
          <t>ÖSTERGÖTLANDS LÄN</t>
        </is>
      </c>
      <c r="E466" t="inlineStr">
        <is>
          <t>ÅTVIDABERG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5536-2026</t>
        </is>
      </c>
      <c r="B467" s="1" t="n">
        <v>46050.66363425926</v>
      </c>
      <c r="C467" s="1" t="n">
        <v>46066</v>
      </c>
      <c r="D467" t="inlineStr">
        <is>
          <t>ÖSTERGÖTLANDS LÄN</t>
        </is>
      </c>
      <c r="E467" t="inlineStr">
        <is>
          <t>ÅTVIDABERG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62781-2025</t>
        </is>
      </c>
      <c r="B468" s="1" t="n">
        <v>46008.61575231481</v>
      </c>
      <c r="C468" s="1" t="n">
        <v>46066</v>
      </c>
      <c r="D468" t="inlineStr">
        <is>
          <t>ÖSTERGÖTLANDS LÄN</t>
        </is>
      </c>
      <c r="E468" t="inlineStr">
        <is>
          <t>ÅTVIDABERG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12297-2024</t>
        </is>
      </c>
      <c r="B469" s="1" t="n">
        <v>45378</v>
      </c>
      <c r="C469" s="1" t="n">
        <v>46066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29349-2024</t>
        </is>
      </c>
      <c r="B470" s="1" t="n">
        <v>45483.48837962963</v>
      </c>
      <c r="C470" s="1" t="n">
        <v>46066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7609-2023</t>
        </is>
      </c>
      <c r="B471" s="1" t="n">
        <v>44972</v>
      </c>
      <c r="C471" s="1" t="n">
        <v>46066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1138-2025</t>
        </is>
      </c>
      <c r="B472" s="1" t="n">
        <v>45666.70396990741</v>
      </c>
      <c r="C472" s="1" t="n">
        <v>46066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63358-2025</t>
        </is>
      </c>
      <c r="B473" s="1" t="n">
        <v>46010.67361111111</v>
      </c>
      <c r="C473" s="1" t="n">
        <v>46066</v>
      </c>
      <c r="D473" t="inlineStr">
        <is>
          <t>ÖSTERGÖTLANDS LÄN</t>
        </is>
      </c>
      <c r="E473" t="inlineStr">
        <is>
          <t>ÅTVIDABERG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6391-2026</t>
        </is>
      </c>
      <c r="B474" s="1" t="n">
        <v>46055.64608796296</v>
      </c>
      <c r="C474" s="1" t="n">
        <v>46066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40475-2024</t>
        </is>
      </c>
      <c r="B475" s="1" t="n">
        <v>45555.54030092592</v>
      </c>
      <c r="C475" s="1" t="n">
        <v>46066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6343-2026</t>
        </is>
      </c>
      <c r="B476" s="1" t="n">
        <v>46055.60255787037</v>
      </c>
      <c r="C476" s="1" t="n">
        <v>46066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46066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6242-2026</t>
        </is>
      </c>
      <c r="B478" s="1" t="n">
        <v>46055.46429398148</v>
      </c>
      <c r="C478" s="1" t="n">
        <v>46066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36885-2024</t>
        </is>
      </c>
      <c r="B479" s="1" t="n">
        <v>45538</v>
      </c>
      <c r="C479" s="1" t="n">
        <v>46066</v>
      </c>
      <c r="D479" t="inlineStr">
        <is>
          <t>ÖSTERGÖTLANDS LÄN</t>
        </is>
      </c>
      <c r="E479" t="inlineStr">
        <is>
          <t>ÅTVIDABERG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6494-2026</t>
        </is>
      </c>
      <c r="B480" s="1" t="n">
        <v>46056.35708333334</v>
      </c>
      <c r="C480" s="1" t="n">
        <v>46066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32057-2022</t>
        </is>
      </c>
      <c r="B481" s="1" t="n">
        <v>44778</v>
      </c>
      <c r="C481" s="1" t="n">
        <v>46066</v>
      </c>
      <c r="D481" t="inlineStr">
        <is>
          <t>ÖSTERGÖTLANDS LÄN</t>
        </is>
      </c>
      <c r="E481" t="inlineStr">
        <is>
          <t>ÅTVIDABERG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HYPERLINK("https://klasma.github.io/Logging_0561/knärot/A 32057-2022 karta knärot.png", "A 32057-2022")</f>
        <v/>
      </c>
      <c r="V481">
        <f>HYPERLINK("https://klasma.github.io/Logging_0561/klagomål/A 32057-2022 FSC-klagomål.docx", "A 32057-2022")</f>
        <v/>
      </c>
      <c r="W481">
        <f>HYPERLINK("https://klasma.github.io/Logging_0561/klagomålsmail/A 32057-2022 FSC-klagomål mail.docx", "A 32057-2022")</f>
        <v/>
      </c>
      <c r="X481">
        <f>HYPERLINK("https://klasma.github.io/Logging_0561/tillsyn/A 32057-2022 tillsynsbegäran.docx", "A 32057-2022")</f>
        <v/>
      </c>
      <c r="Y481">
        <f>HYPERLINK("https://klasma.github.io/Logging_0561/tillsynsmail/A 32057-2022 tillsynsbegäran mail.docx", "A 32057-2022")</f>
        <v/>
      </c>
    </row>
    <row r="482" ht="15" customHeight="1">
      <c r="A482" t="inlineStr">
        <is>
          <t>A 32060-2022</t>
        </is>
      </c>
      <c r="B482" s="1" t="n">
        <v>44778</v>
      </c>
      <c r="C482" s="1" t="n">
        <v>46066</v>
      </c>
      <c r="D482" t="inlineStr">
        <is>
          <t>ÖSTERGÖTLANDS LÄN</t>
        </is>
      </c>
      <c r="E482" t="inlineStr">
        <is>
          <t>ÅTVIDABERG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HYPERLINK("https://klasma.github.io/Logging_0561/knärot/A 32060-2022 karta knärot.png", "A 32060-2022")</f>
        <v/>
      </c>
      <c r="V482">
        <f>HYPERLINK("https://klasma.github.io/Logging_0561/klagomål/A 32060-2022 FSC-klagomål.docx", "A 32060-2022")</f>
        <v/>
      </c>
      <c r="W482">
        <f>HYPERLINK("https://klasma.github.io/Logging_0561/klagomålsmail/A 32060-2022 FSC-klagomål mail.docx", "A 32060-2022")</f>
        <v/>
      </c>
      <c r="X482">
        <f>HYPERLINK("https://klasma.github.io/Logging_0561/tillsyn/A 32060-2022 tillsynsbegäran.docx", "A 32060-2022")</f>
        <v/>
      </c>
      <c r="Y482">
        <f>HYPERLINK("https://klasma.github.io/Logging_0561/tillsynsmail/A 32060-2022 tillsynsbegäran mail.docx", "A 32060-2022")</f>
        <v/>
      </c>
    </row>
    <row r="483" ht="15" customHeight="1">
      <c r="A483" t="inlineStr">
        <is>
          <t>A 6466-2026</t>
        </is>
      </c>
      <c r="B483" s="1" t="n">
        <v>46056.31877314814</v>
      </c>
      <c r="C483" s="1" t="n">
        <v>46066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6469-2026</t>
        </is>
      </c>
      <c r="B484" s="1" t="n">
        <v>46056.32425925926</v>
      </c>
      <c r="C484" s="1" t="n">
        <v>46066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6472-2026</t>
        </is>
      </c>
      <c r="B485" s="1" t="n">
        <v>46056.32792824074</v>
      </c>
      <c r="C485" s="1" t="n">
        <v>46066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6490-2026</t>
        </is>
      </c>
      <c r="B486" s="1" t="n">
        <v>46056.34627314815</v>
      </c>
      <c r="C486" s="1" t="n">
        <v>46066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6502-2026</t>
        </is>
      </c>
      <c r="B487" s="1" t="n">
        <v>46056.37072916667</v>
      </c>
      <c r="C487" s="1" t="n">
        <v>46066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668-2023</t>
        </is>
      </c>
      <c r="B488" s="1" t="n">
        <v>44930</v>
      </c>
      <c r="C488" s="1" t="n">
        <v>46066</v>
      </c>
      <c r="D488" t="inlineStr">
        <is>
          <t>ÖSTERGÖTLANDS LÄN</t>
        </is>
      </c>
      <c r="E488" t="inlineStr">
        <is>
          <t>ÅTVIDABERG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18485-2023</t>
        </is>
      </c>
      <c r="B489" s="1" t="n">
        <v>45042</v>
      </c>
      <c r="C489" s="1" t="n">
        <v>46066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26911-2023</t>
        </is>
      </c>
      <c r="B490" s="1" t="n">
        <v>45090</v>
      </c>
      <c r="C490" s="1" t="n">
        <v>46066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60516-2021</t>
        </is>
      </c>
      <c r="B491" s="1" t="n">
        <v>44495</v>
      </c>
      <c r="C491" s="1" t="n">
        <v>46066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27986-2023</t>
        </is>
      </c>
      <c r="B492" s="1" t="n">
        <v>45098</v>
      </c>
      <c r="C492" s="1" t="n">
        <v>46066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27987-2023</t>
        </is>
      </c>
      <c r="B493" s="1" t="n">
        <v>45098</v>
      </c>
      <c r="C493" s="1" t="n">
        <v>46066</v>
      </c>
      <c r="D493" t="inlineStr">
        <is>
          <t>ÖSTERGÖTLANDS LÄN</t>
        </is>
      </c>
      <c r="E493" t="inlineStr">
        <is>
          <t>ÅTVIDABERG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21511-2023</t>
        </is>
      </c>
      <c r="B494" s="1" t="n">
        <v>45063</v>
      </c>
      <c r="C494" s="1" t="n">
        <v>46066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56551-2023</t>
        </is>
      </c>
      <c r="B495" s="1" t="n">
        <v>45243</v>
      </c>
      <c r="C495" s="1" t="n">
        <v>46066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5491-2024</t>
        </is>
      </c>
      <c r="B496" s="1" t="n">
        <v>45334</v>
      </c>
      <c r="C496" s="1" t="n">
        <v>46066</v>
      </c>
      <c r="D496" t="inlineStr">
        <is>
          <t>ÖSTERGÖTLANDS LÄN</t>
        </is>
      </c>
      <c r="E496" t="inlineStr">
        <is>
          <t>ÅTVIDABERG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56537-2023</t>
        </is>
      </c>
      <c r="B497" s="1" t="n">
        <v>45243</v>
      </c>
      <c r="C497" s="1" t="n">
        <v>46066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15913-2023</t>
        </is>
      </c>
      <c r="B498" s="1" t="n">
        <v>45022</v>
      </c>
      <c r="C498" s="1" t="n">
        <v>46066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58563-2022</t>
        </is>
      </c>
      <c r="B499" s="1" t="n">
        <v>44902.49914351852</v>
      </c>
      <c r="C499" s="1" t="n">
        <v>46066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52524-2023</t>
        </is>
      </c>
      <c r="B500" s="1" t="n">
        <v>45225</v>
      </c>
      <c r="C500" s="1" t="n">
        <v>46066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62236-2022</t>
        </is>
      </c>
      <c r="B501" s="1" t="n">
        <v>44922</v>
      </c>
      <c r="C501" s="1" t="n">
        <v>46066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42466-2024</t>
        </is>
      </c>
      <c r="B502" s="1" t="n">
        <v>45565.47655092592</v>
      </c>
      <c r="C502" s="1" t="n">
        <v>46066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42468-2024</t>
        </is>
      </c>
      <c r="B503" s="1" t="n">
        <v>45565.48195601852</v>
      </c>
      <c r="C503" s="1" t="n">
        <v>46066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69855-2021</t>
        </is>
      </c>
      <c r="B504" s="1" t="n">
        <v>44532</v>
      </c>
      <c r="C504" s="1" t="n">
        <v>46066</v>
      </c>
      <c r="D504" t="inlineStr">
        <is>
          <t>ÖSTERGÖTLANDS LÄN</t>
        </is>
      </c>
      <c r="E504" t="inlineStr">
        <is>
          <t>ÅTVIDABERG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11505-2022</t>
        </is>
      </c>
      <c r="B505" s="1" t="n">
        <v>44631</v>
      </c>
      <c r="C505" s="1" t="n">
        <v>46066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61670-2022</t>
        </is>
      </c>
      <c r="B506" s="1" t="n">
        <v>44917</v>
      </c>
      <c r="C506" s="1" t="n">
        <v>46066</v>
      </c>
      <c r="D506" t="inlineStr">
        <is>
          <t>ÖSTERGÖTLANDS LÄN</t>
        </is>
      </c>
      <c r="E506" t="inlineStr">
        <is>
          <t>ÅTVIDABERG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32302-2021</t>
        </is>
      </c>
      <c r="B507" s="1" t="n">
        <v>44371</v>
      </c>
      <c r="C507" s="1" t="n">
        <v>46066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27642-2023</t>
        </is>
      </c>
      <c r="B508" s="1" t="n">
        <v>45097</v>
      </c>
      <c r="C508" s="1" t="n">
        <v>46066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52161-2023</t>
        </is>
      </c>
      <c r="B509" s="1" t="n">
        <v>45224.32313657407</v>
      </c>
      <c r="C509" s="1" t="n">
        <v>46066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9759-2022</t>
        </is>
      </c>
      <c r="B510" s="1" t="n">
        <v>44618.86863425926</v>
      </c>
      <c r="C510" s="1" t="n">
        <v>46066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27417-2022</t>
        </is>
      </c>
      <c r="B511" s="1" t="n">
        <v>44742</v>
      </c>
      <c r="C511" s="1" t="n">
        <v>46066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13357-2024</t>
        </is>
      </c>
      <c r="B512" s="1" t="n">
        <v>45387.34957175926</v>
      </c>
      <c r="C512" s="1" t="n">
        <v>46066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32742-2023</t>
        </is>
      </c>
      <c r="B513" s="1" t="n">
        <v>45122.39309027778</v>
      </c>
      <c r="C513" s="1" t="n">
        <v>46066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27978-2022</t>
        </is>
      </c>
      <c r="B514" s="1" t="n">
        <v>44745</v>
      </c>
      <c r="C514" s="1" t="n">
        <v>46066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43382-2023</t>
        </is>
      </c>
      <c r="B515" s="1" t="n">
        <v>45183.84976851852</v>
      </c>
      <c r="C515" s="1" t="n">
        <v>46066</v>
      </c>
      <c r="D515" t="inlineStr">
        <is>
          <t>ÖSTERGÖTLANDS LÄN</t>
        </is>
      </c>
      <c r="E515" t="inlineStr">
        <is>
          <t>ÅTVIDABERG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15194-2024</t>
        </is>
      </c>
      <c r="B516" s="1" t="n">
        <v>45400</v>
      </c>
      <c r="C516" s="1" t="n">
        <v>46066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6372-2023</t>
        </is>
      </c>
      <c r="B517" s="1" t="n">
        <v>44965</v>
      </c>
      <c r="C517" s="1" t="n">
        <v>46066</v>
      </c>
      <c r="D517" t="inlineStr">
        <is>
          <t>ÖSTERGÖTLANDS LÄN</t>
        </is>
      </c>
      <c r="E517" t="inlineStr">
        <is>
          <t>ÅTVIDABERG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27181-2024</t>
        </is>
      </c>
      <c r="B518" s="1" t="n">
        <v>45471.5771875</v>
      </c>
      <c r="C518" s="1" t="n">
        <v>46066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39071-2022</t>
        </is>
      </c>
      <c r="B519" s="1" t="n">
        <v>44817.38878472222</v>
      </c>
      <c r="C519" s="1" t="n">
        <v>46066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4805-2024</t>
        </is>
      </c>
      <c r="B520" s="1" t="n">
        <v>45328</v>
      </c>
      <c r="C520" s="1" t="n">
        <v>46066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13583-2025</t>
        </is>
      </c>
      <c r="B521" s="1" t="n">
        <v>45736.59162037037</v>
      </c>
      <c r="C521" s="1" t="n">
        <v>46066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49983-2024</t>
        </is>
      </c>
      <c r="B522" s="1" t="n">
        <v>45597.76792824074</v>
      </c>
      <c r="C522" s="1" t="n">
        <v>46066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52527-2023</t>
        </is>
      </c>
      <c r="B523" s="1" t="n">
        <v>45225</v>
      </c>
      <c r="C523" s="1" t="n">
        <v>46066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12450-2024</t>
        </is>
      </c>
      <c r="B524" s="1" t="n">
        <v>45379.47295138889</v>
      </c>
      <c r="C524" s="1" t="n">
        <v>46066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12454-2024</t>
        </is>
      </c>
      <c r="B525" s="1" t="n">
        <v>45379</v>
      </c>
      <c r="C525" s="1" t="n">
        <v>46066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12508-2024</t>
        </is>
      </c>
      <c r="B526" s="1" t="n">
        <v>45379</v>
      </c>
      <c r="C526" s="1" t="n">
        <v>46066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30649-2023</t>
        </is>
      </c>
      <c r="B527" s="1" t="n">
        <v>45112</v>
      </c>
      <c r="C527" s="1" t="n">
        <v>46066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44502-2023</t>
        </is>
      </c>
      <c r="B528" s="1" t="n">
        <v>45184</v>
      </c>
      <c r="C528" s="1" t="n">
        <v>46066</v>
      </c>
      <c r="D528" t="inlineStr">
        <is>
          <t>ÖSTERGÖTLANDS LÄN</t>
        </is>
      </c>
      <c r="E528" t="inlineStr">
        <is>
          <t>ÅTVIDABERG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28756-2024</t>
        </is>
      </c>
      <c r="B529" s="1" t="n">
        <v>45478</v>
      </c>
      <c r="C529" s="1" t="n">
        <v>46066</v>
      </c>
      <c r="D529" t="inlineStr">
        <is>
          <t>ÖSTERGÖTLANDS LÄN</t>
        </is>
      </c>
      <c r="E529" t="inlineStr">
        <is>
          <t>ÅTVIDABERG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3217-2024</t>
        </is>
      </c>
      <c r="B530" s="1" t="n">
        <v>45316.81165509259</v>
      </c>
      <c r="C530" s="1" t="n">
        <v>46066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109-2022</t>
        </is>
      </c>
      <c r="B531" s="1" t="n">
        <v>44564</v>
      </c>
      <c r="C531" s="1" t="n">
        <v>46066</v>
      </c>
      <c r="D531" t="inlineStr">
        <is>
          <t>ÖSTERGÖTLANDS LÄN</t>
        </is>
      </c>
      <c r="E531" t="inlineStr">
        <is>
          <t>ÅTVIDABERG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726-2025</t>
        </is>
      </c>
      <c r="B532" s="1" t="n">
        <v>45665.39953703704</v>
      </c>
      <c r="C532" s="1" t="n">
        <v>46066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16964-2025</t>
        </is>
      </c>
      <c r="B533" s="1" t="n">
        <v>45755.45708333333</v>
      </c>
      <c r="C533" s="1" t="n">
        <v>46066</v>
      </c>
      <c r="D533" t="inlineStr">
        <is>
          <t>ÖSTERGÖTLANDS LÄN</t>
        </is>
      </c>
      <c r="E533" t="inlineStr">
        <is>
          <t>ÅTVIDABERG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17770-2025</t>
        </is>
      </c>
      <c r="B534" s="1" t="n">
        <v>45758.50716435185</v>
      </c>
      <c r="C534" s="1" t="n">
        <v>46066</v>
      </c>
      <c r="D534" t="inlineStr">
        <is>
          <t>ÖSTERGÖTLANDS LÄN</t>
        </is>
      </c>
      <c r="E534" t="inlineStr">
        <is>
          <t>ÅTVIDABERG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43082-2023</t>
        </is>
      </c>
      <c r="B535" s="1" t="n">
        <v>45182</v>
      </c>
      <c r="C535" s="1" t="n">
        <v>46066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1727-2025</t>
        </is>
      </c>
      <c r="B536" s="1" t="n">
        <v>45671.35634259259</v>
      </c>
      <c r="C536" s="1" t="n">
        <v>46066</v>
      </c>
      <c r="D536" t="inlineStr">
        <is>
          <t>ÖSTERGÖTLANDS LÄN</t>
        </is>
      </c>
      <c r="E536" t="inlineStr">
        <is>
          <t>ÅTVIDABERG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36772-2021</t>
        </is>
      </c>
      <c r="B537" s="1" t="n">
        <v>44392</v>
      </c>
      <c r="C537" s="1" t="n">
        <v>46066</v>
      </c>
      <c r="D537" t="inlineStr">
        <is>
          <t>ÖSTERGÖTLANDS LÄN</t>
        </is>
      </c>
      <c r="E537" t="inlineStr">
        <is>
          <t>ÅTVIDABERG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36777-2021</t>
        </is>
      </c>
      <c r="B538" s="1" t="n">
        <v>44392</v>
      </c>
      <c r="C538" s="1" t="n">
        <v>46066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26240-2024</t>
        </is>
      </c>
      <c r="B539" s="1" t="n">
        <v>45468</v>
      </c>
      <c r="C539" s="1" t="n">
        <v>46066</v>
      </c>
      <c r="D539" t="inlineStr">
        <is>
          <t>ÖSTERGÖTLANDS LÄN</t>
        </is>
      </c>
      <c r="E539" t="inlineStr">
        <is>
          <t>ÅTVIDABERG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5494-2024</t>
        </is>
      </c>
      <c r="B540" s="1" t="n">
        <v>45334</v>
      </c>
      <c r="C540" s="1" t="n">
        <v>46066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50422-2024</t>
        </is>
      </c>
      <c r="B541" s="1" t="n">
        <v>45601.38733796297</v>
      </c>
      <c r="C541" s="1" t="n">
        <v>46066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44256-2022</t>
        </is>
      </c>
      <c r="B542" s="1" t="n">
        <v>44839</v>
      </c>
      <c r="C542" s="1" t="n">
        <v>46066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40297-2023</t>
        </is>
      </c>
      <c r="B543" s="1" t="n">
        <v>45169.58528935185</v>
      </c>
      <c r="C543" s="1" t="n">
        <v>46066</v>
      </c>
      <c r="D543" t="inlineStr">
        <is>
          <t>ÖSTERGÖTLANDS LÄN</t>
        </is>
      </c>
      <c r="E543" t="inlineStr">
        <is>
          <t>ÅTVIDABERG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32953-2022</t>
        </is>
      </c>
      <c r="B544" s="1" t="n">
        <v>44784</v>
      </c>
      <c r="C544" s="1" t="n">
        <v>46066</v>
      </c>
      <c r="D544" t="inlineStr">
        <is>
          <t>ÖSTERGÖTLANDS LÄN</t>
        </is>
      </c>
      <c r="E544" t="inlineStr">
        <is>
          <t>ÅTVIDABERG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60217-2023</t>
        </is>
      </c>
      <c r="B545" s="1" t="n">
        <v>45258.6102662037</v>
      </c>
      <c r="C545" s="1" t="n">
        <v>46066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12822-2024</t>
        </is>
      </c>
      <c r="B546" s="1" t="n">
        <v>45384.67591435185</v>
      </c>
      <c r="C546" s="1" t="n">
        <v>46066</v>
      </c>
      <c r="D546" t="inlineStr">
        <is>
          <t>ÖSTERGÖTLANDS LÄN</t>
        </is>
      </c>
      <c r="E546" t="inlineStr">
        <is>
          <t>ÅTVIDABERG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18724-2025</t>
        </is>
      </c>
      <c r="B547" s="1" t="n">
        <v>45763.66409722222</v>
      </c>
      <c r="C547" s="1" t="n">
        <v>46066</v>
      </c>
      <c r="D547" t="inlineStr">
        <is>
          <t>ÖSTERGÖTLANDS LÄN</t>
        </is>
      </c>
      <c r="E547" t="inlineStr">
        <is>
          <t>ÅTVIDABERG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18005-2023</t>
        </is>
      </c>
      <c r="B548" s="1" t="n">
        <v>45040.55717592593</v>
      </c>
      <c r="C548" s="1" t="n">
        <v>46066</v>
      </c>
      <c r="D548" t="inlineStr">
        <is>
          <t>ÖSTERGÖTLANDS LÄN</t>
        </is>
      </c>
      <c r="E548" t="inlineStr">
        <is>
          <t>ÅTVIDABERG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4089-2023</t>
        </is>
      </c>
      <c r="B549" s="1" t="n">
        <v>44952</v>
      </c>
      <c r="C549" s="1" t="n">
        <v>46066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5663-2022</t>
        </is>
      </c>
      <c r="B550" s="1" t="n">
        <v>44596</v>
      </c>
      <c r="C550" s="1" t="n">
        <v>46066</v>
      </c>
      <c r="D550" t="inlineStr">
        <is>
          <t>ÖSTERGÖTLANDS LÄN</t>
        </is>
      </c>
      <c r="E550" t="inlineStr">
        <is>
          <t>ÅTVIDABERG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396-2024</t>
        </is>
      </c>
      <c r="B551" s="1" t="n">
        <v>45296</v>
      </c>
      <c r="C551" s="1" t="n">
        <v>46066</v>
      </c>
      <c r="D551" t="inlineStr">
        <is>
          <t>ÖSTERGÖTLANDS LÄN</t>
        </is>
      </c>
      <c r="E551" t="inlineStr">
        <is>
          <t>ÅTVIDABERG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24935-2024</t>
        </is>
      </c>
      <c r="B552" s="1" t="n">
        <v>45461</v>
      </c>
      <c r="C552" s="1" t="n">
        <v>46066</v>
      </c>
      <c r="D552" t="inlineStr">
        <is>
          <t>ÖSTERGÖTLANDS LÄN</t>
        </is>
      </c>
      <c r="E552" t="inlineStr">
        <is>
          <t>ÅTVIDABERG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10302-2025</t>
        </is>
      </c>
      <c r="B553" s="1" t="n">
        <v>45720.44211805556</v>
      </c>
      <c r="C553" s="1" t="n">
        <v>46066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2032-2024</t>
        </is>
      </c>
      <c r="B554" s="1" t="n">
        <v>45308</v>
      </c>
      <c r="C554" s="1" t="n">
        <v>46066</v>
      </c>
      <c r="D554" t="inlineStr">
        <is>
          <t>ÖSTERGÖTLANDS LÄN</t>
        </is>
      </c>
      <c r="E554" t="inlineStr">
        <is>
          <t>ÅTVIDABERG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58564-2022</t>
        </is>
      </c>
      <c r="B555" s="1" t="n">
        <v>44902.50083333333</v>
      </c>
      <c r="C555" s="1" t="n">
        <v>46066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34366-2024</t>
        </is>
      </c>
      <c r="B556" s="1" t="n">
        <v>45525</v>
      </c>
      <c r="C556" s="1" t="n">
        <v>46066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9524-2025</t>
        </is>
      </c>
      <c r="B557" s="1" t="n">
        <v>45715</v>
      </c>
      <c r="C557" s="1" t="n">
        <v>46066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39930-2023</t>
        </is>
      </c>
      <c r="B558" s="1" t="n">
        <v>45168</v>
      </c>
      <c r="C558" s="1" t="n">
        <v>46066</v>
      </c>
      <c r="D558" t="inlineStr">
        <is>
          <t>ÖSTERGÖTLANDS LÄN</t>
        </is>
      </c>
      <c r="E558" t="inlineStr">
        <is>
          <t>ÅTVIDABERG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36621-2023</t>
        </is>
      </c>
      <c r="B559" s="1" t="n">
        <v>45153.5044212963</v>
      </c>
      <c r="C559" s="1" t="n">
        <v>46066</v>
      </c>
      <c r="D559" t="inlineStr">
        <is>
          <t>ÖSTERGÖTLANDS LÄN</t>
        </is>
      </c>
      <c r="E559" t="inlineStr">
        <is>
          <t>ÅTVIDABERG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42382-2023</t>
        </is>
      </c>
      <c r="B560" s="1" t="n">
        <v>45180</v>
      </c>
      <c r="C560" s="1" t="n">
        <v>46066</v>
      </c>
      <c r="D560" t="inlineStr">
        <is>
          <t>ÖSTERGÖTLANDS LÄN</t>
        </is>
      </c>
      <c r="E560" t="inlineStr">
        <is>
          <t>ÅTVIDABERG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43083-2023</t>
        </is>
      </c>
      <c r="B561" s="1" t="n">
        <v>45182.86355324074</v>
      </c>
      <c r="C561" s="1" t="n">
        <v>46066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3144-2022</t>
        </is>
      </c>
      <c r="B562" s="1" t="n">
        <v>44582.54878472222</v>
      </c>
      <c r="C562" s="1" t="n">
        <v>46066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17430-2024</t>
        </is>
      </c>
      <c r="B563" s="1" t="n">
        <v>45415.32174768519</v>
      </c>
      <c r="C563" s="1" t="n">
        <v>46066</v>
      </c>
      <c r="D563" t="inlineStr">
        <is>
          <t>ÖSTERGÖTLANDS LÄN</t>
        </is>
      </c>
      <c r="E563" t="inlineStr">
        <is>
          <t>ÅTVIDABERG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72597-2021</t>
        </is>
      </c>
      <c r="B564" s="1" t="n">
        <v>44546</v>
      </c>
      <c r="C564" s="1" t="n">
        <v>46066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43899-2024</t>
        </is>
      </c>
      <c r="B565" s="1" t="n">
        <v>45572.41862268518</v>
      </c>
      <c r="C565" s="1" t="n">
        <v>46066</v>
      </c>
      <c r="D565" t="inlineStr">
        <is>
          <t>ÖSTERGÖTLANDS LÄN</t>
        </is>
      </c>
      <c r="E565" t="inlineStr">
        <is>
          <t>ÅTVIDABERG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61182-2022</t>
        </is>
      </c>
      <c r="B566" s="1" t="n">
        <v>44915</v>
      </c>
      <c r="C566" s="1" t="n">
        <v>46066</v>
      </c>
      <c r="D566" t="inlineStr">
        <is>
          <t>ÖSTERGÖTLANDS LÄN</t>
        </is>
      </c>
      <c r="E566" t="inlineStr">
        <is>
          <t>ÅTVIDABERG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399-2024</t>
        </is>
      </c>
      <c r="B567" s="1" t="n">
        <v>45296</v>
      </c>
      <c r="C567" s="1" t="n">
        <v>46066</v>
      </c>
      <c r="D567" t="inlineStr">
        <is>
          <t>ÖSTERGÖTLANDS LÄN</t>
        </is>
      </c>
      <c r="E567" t="inlineStr">
        <is>
          <t>ÅTVIDABERG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61624-2023</t>
        </is>
      </c>
      <c r="B568" s="1" t="n">
        <v>45261</v>
      </c>
      <c r="C568" s="1" t="n">
        <v>46066</v>
      </c>
      <c r="D568" t="inlineStr">
        <is>
          <t>ÖSTERGÖTLANDS LÄN</t>
        </is>
      </c>
      <c r="E568" t="inlineStr">
        <is>
          <t>ÅTVIDABERG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14774-2022</t>
        </is>
      </c>
      <c r="B569" s="1" t="n">
        <v>44656</v>
      </c>
      <c r="C569" s="1" t="n">
        <v>46066</v>
      </c>
      <c r="D569" t="inlineStr">
        <is>
          <t>ÖSTERGÖTLANDS LÄN</t>
        </is>
      </c>
      <c r="E569" t="inlineStr">
        <is>
          <t>ÅTVIDABERG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20620-2025</t>
        </is>
      </c>
      <c r="B570" s="1" t="n">
        <v>45776.31901620371</v>
      </c>
      <c r="C570" s="1" t="n">
        <v>46066</v>
      </c>
      <c r="D570" t="inlineStr">
        <is>
          <t>ÖSTERGÖTLANDS LÄN</t>
        </is>
      </c>
      <c r="E570" t="inlineStr">
        <is>
          <t>ÅTVIDABERG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20618-2025</t>
        </is>
      </c>
      <c r="B571" s="1" t="n">
        <v>45776.31081018518</v>
      </c>
      <c r="C571" s="1" t="n">
        <v>46066</v>
      </c>
      <c r="D571" t="inlineStr">
        <is>
          <t>ÖSTERGÖTLANDS LÄN</t>
        </is>
      </c>
      <c r="E571" t="inlineStr">
        <is>
          <t>ÅTVIDABERG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7892-2025</t>
        </is>
      </c>
      <c r="B572" s="1" t="n">
        <v>45707.2930787037</v>
      </c>
      <c r="C572" s="1" t="n">
        <v>46066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21842-2025</t>
        </is>
      </c>
      <c r="B573" s="1" t="n">
        <v>45784.33703703704</v>
      </c>
      <c r="C573" s="1" t="n">
        <v>46066</v>
      </c>
      <c r="D573" t="inlineStr">
        <is>
          <t>ÖSTERGÖTLANDS LÄN</t>
        </is>
      </c>
      <c r="E573" t="inlineStr">
        <is>
          <t>ÅTVIDABERG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21839-2025</t>
        </is>
      </c>
      <c r="B574" s="1" t="n">
        <v>45784.32862268519</v>
      </c>
      <c r="C574" s="1" t="n">
        <v>46066</v>
      </c>
      <c r="D574" t="inlineStr">
        <is>
          <t>ÖSTERGÖTLANDS LÄN</t>
        </is>
      </c>
      <c r="E574" t="inlineStr">
        <is>
          <t>ÅTVIDABERG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2026-02-13T11:04:16Z</dcterms:created>
  <dcterms:modified xmlns:dcterms="http://purl.org/dc/terms/" xmlns:xsi="http://www.w3.org/2001/XMLSchema-instance" xsi:type="dcterms:W3CDTF">2026-02-13T11:04:16Z</dcterms:modified>
</cp:coreProperties>
</file>