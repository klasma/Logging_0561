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45362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45362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45362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45362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45362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45362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45362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45362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45362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45362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45362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45362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45362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45362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45362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45362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37278-2023</t>
        </is>
      </c>
      <c r="B18" s="1" t="n">
        <v>45156</v>
      </c>
      <c r="C18" s="1" t="n">
        <v>45362</v>
      </c>
      <c r="D18" t="inlineStr">
        <is>
          <t>ÖSTERGÖTLANDS LÄN</t>
        </is>
      </c>
      <c r="E18" t="inlineStr">
        <is>
          <t>ÅTVIDABERG</t>
        </is>
      </c>
      <c r="G18" t="n">
        <v>0.1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Järpe
Spillkråka
Talltita</t>
        </is>
      </c>
      <c r="S18">
        <f>HYPERLINK("https://klasma.github.io/Logging_0561/artfynd/A 37278-2023 artfynd.xlsx", "A 37278-2023")</f>
        <v/>
      </c>
      <c r="T18">
        <f>HYPERLINK("https://klasma.github.io/Logging_0561/kartor/A 37278-2023 karta.png", "A 37278-2023")</f>
        <v/>
      </c>
      <c r="U18">
        <f>HYPERLINK("https://klasma.github.io/Logging_0561/knärot/A 37278-2023 karta knärot.png", "A 37278-2023")</f>
        <v/>
      </c>
      <c r="V18">
        <f>HYPERLINK("https://klasma.github.io/Logging_0561/klagomål/A 37278-2023 FSC-klagomål.docx", "A 37278-2023")</f>
        <v/>
      </c>
      <c r="W18">
        <f>HYPERLINK("https://klasma.github.io/Logging_0561/klagomålsmail/A 37278-2023 FSC-klagomål mail.docx", "A 37278-2023")</f>
        <v/>
      </c>
      <c r="X18">
        <f>HYPERLINK("https://klasma.github.io/Logging_0561/tillsyn/A 37278-2023 tillsynsbegäran.docx", "A 37278-2023")</f>
        <v/>
      </c>
      <c r="Y18">
        <f>HYPERLINK("https://klasma.github.io/Logging_0561/tillsynsmail/A 37278-2023 tillsynsbegäran mail.docx", "A 37278-2023")</f>
        <v/>
      </c>
      <c r="Z18">
        <f>HYPERLINK("https://klasma.github.io/Logging_0561/fåglar/A 37278-2023 prioriterade fågelarter.docx", "A 37278-2023")</f>
        <v/>
      </c>
    </row>
    <row r="19" ht="15" customHeight="1">
      <c r="A19" t="inlineStr">
        <is>
          <t>A 48261-2018</t>
        </is>
      </c>
      <c r="B19" s="1" t="n">
        <v>43371</v>
      </c>
      <c r="C19" s="1" t="n">
        <v>45362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HYPERLINK("https://klasma.github.io/Logging_0561/artfynd/A 48261-2018 artfynd.xlsx", "A 48261-2018")</f>
        <v/>
      </c>
      <c r="T19">
        <f>HYPERLINK("https://klasma.github.io/Logging_0561/kartor/A 48261-2018 karta.png", "A 48261-2018")</f>
        <v/>
      </c>
      <c r="V19">
        <f>HYPERLINK("https://klasma.github.io/Logging_0561/klagomål/A 48261-2018 FSC-klagomål.docx", "A 48261-2018")</f>
        <v/>
      </c>
      <c r="W19">
        <f>HYPERLINK("https://klasma.github.io/Logging_0561/klagomålsmail/A 48261-2018 FSC-klagomål mail.docx", "A 48261-2018")</f>
        <v/>
      </c>
      <c r="X19">
        <f>HYPERLINK("https://klasma.github.io/Logging_0561/tillsyn/A 48261-2018 tillsynsbegäran.docx", "A 48261-2018")</f>
        <v/>
      </c>
      <c r="Y19">
        <f>HYPERLINK("https://klasma.github.io/Logging_0561/tillsynsmail/A 48261-2018 tillsynsbegäran mail.docx", "A 48261-2018")</f>
        <v/>
      </c>
    </row>
    <row r="20" ht="15" customHeight="1">
      <c r="A20" t="inlineStr">
        <is>
          <t>A 49981-2018</t>
        </is>
      </c>
      <c r="B20" s="1" t="n">
        <v>43377</v>
      </c>
      <c r="C20" s="1" t="n">
        <v>45362</v>
      </c>
      <c r="D20" t="inlineStr">
        <is>
          <t>ÖSTERGÖTLANDS LÄN</t>
        </is>
      </c>
      <c r="E20" t="inlineStr">
        <is>
          <t>ÅTVIDABERG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Grönpyrola</t>
        </is>
      </c>
      <c r="S20">
        <f>HYPERLINK("https://klasma.github.io/Logging_0561/artfynd/A 49981-2018 artfynd.xlsx", "A 49981-2018")</f>
        <v/>
      </c>
      <c r="T20">
        <f>HYPERLINK("https://klasma.github.io/Logging_0561/kartor/A 49981-2018 karta.png", "A 49981-2018")</f>
        <v/>
      </c>
      <c r="V20">
        <f>HYPERLINK("https://klasma.github.io/Logging_0561/klagomål/A 49981-2018 FSC-klagomål.docx", "A 49981-2018")</f>
        <v/>
      </c>
      <c r="W20">
        <f>HYPERLINK("https://klasma.github.io/Logging_0561/klagomålsmail/A 49981-2018 FSC-klagomål mail.docx", "A 49981-2018")</f>
        <v/>
      </c>
      <c r="X20">
        <f>HYPERLINK("https://klasma.github.io/Logging_0561/tillsyn/A 49981-2018 tillsynsbegäran.docx", "A 49981-2018")</f>
        <v/>
      </c>
      <c r="Y20">
        <f>HYPERLINK("https://klasma.github.io/Logging_0561/tillsynsmail/A 49981-2018 tillsynsbegäran mail.docx", "A 49981-2018")</f>
        <v/>
      </c>
    </row>
    <row r="21" ht="15" customHeight="1">
      <c r="A21" t="inlineStr">
        <is>
          <t>A 54259-2018</t>
        </is>
      </c>
      <c r="B21" s="1" t="n">
        <v>43393</v>
      </c>
      <c r="C21" s="1" t="n">
        <v>45362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2.6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Vedtrappmossa</t>
        </is>
      </c>
      <c r="S21">
        <f>HYPERLINK("https://klasma.github.io/Logging_0561/artfynd/A 54259-2018 artfynd.xlsx", "A 54259-2018")</f>
        <v/>
      </c>
      <c r="T21">
        <f>HYPERLINK("https://klasma.github.io/Logging_0561/kartor/A 54259-2018 karta.png", "A 54259-2018")</f>
        <v/>
      </c>
      <c r="V21">
        <f>HYPERLINK("https://klasma.github.io/Logging_0561/klagomål/A 54259-2018 FSC-klagomål.docx", "A 54259-2018")</f>
        <v/>
      </c>
      <c r="W21">
        <f>HYPERLINK("https://klasma.github.io/Logging_0561/klagomålsmail/A 54259-2018 FSC-klagomål mail.docx", "A 54259-2018")</f>
        <v/>
      </c>
      <c r="X21">
        <f>HYPERLINK("https://klasma.github.io/Logging_0561/tillsyn/A 54259-2018 tillsynsbegäran.docx", "A 54259-2018")</f>
        <v/>
      </c>
      <c r="Y21">
        <f>HYPERLINK("https://klasma.github.io/Logging_0561/tillsynsmail/A 54259-2018 tillsynsbegäran mail.docx", "A 54259-2018")</f>
        <v/>
      </c>
    </row>
    <row r="22" ht="15" customHeight="1">
      <c r="A22" t="inlineStr">
        <is>
          <t>A 32282-2019</t>
        </is>
      </c>
      <c r="B22" s="1" t="n">
        <v>43644</v>
      </c>
      <c r="C22" s="1" t="n">
        <v>45362</v>
      </c>
      <c r="D22" t="inlineStr">
        <is>
          <t>ÖSTERGÖTLANDS LÄN</t>
        </is>
      </c>
      <c r="E22" t="inlineStr">
        <is>
          <t>ÅTVIDABERG</t>
        </is>
      </c>
      <c r="G22" t="n">
        <v>0.5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Flagellkvastmossa
Lopplummer</t>
        </is>
      </c>
      <c r="S22">
        <f>HYPERLINK("https://klasma.github.io/Logging_0561/artfynd/A 32282-2019 artfynd.xlsx", "A 32282-2019")</f>
        <v/>
      </c>
      <c r="T22">
        <f>HYPERLINK("https://klasma.github.io/Logging_0561/kartor/A 32282-2019 karta.png", "A 32282-2019")</f>
        <v/>
      </c>
      <c r="V22">
        <f>HYPERLINK("https://klasma.github.io/Logging_0561/klagomål/A 32282-2019 FSC-klagomål.docx", "A 32282-2019")</f>
        <v/>
      </c>
      <c r="W22">
        <f>HYPERLINK("https://klasma.github.io/Logging_0561/klagomålsmail/A 32282-2019 FSC-klagomål mail.docx", "A 32282-2019")</f>
        <v/>
      </c>
      <c r="X22">
        <f>HYPERLINK("https://klasma.github.io/Logging_0561/tillsyn/A 32282-2019 tillsynsbegäran.docx", "A 32282-2019")</f>
        <v/>
      </c>
      <c r="Y22">
        <f>HYPERLINK("https://klasma.github.io/Logging_0561/tillsynsmail/A 32282-2019 tillsynsbegäran mail.docx", "A 32282-2019")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45362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45362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45362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45362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50450-2018</t>
        </is>
      </c>
      <c r="B27" s="1" t="n">
        <v>43379</v>
      </c>
      <c r="C27" s="1" t="n">
        <v>45362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Blodvaxskivling</t>
        </is>
      </c>
      <c r="S27">
        <f>HYPERLINK("https://klasma.github.io/Logging_0561/artfynd/A 50450-2018 artfynd.xlsx", "A 50450-2018")</f>
        <v/>
      </c>
      <c r="T27">
        <f>HYPERLINK("https://klasma.github.io/Logging_0561/kartor/A 50450-2018 karta.png", "A 50450-2018")</f>
        <v/>
      </c>
      <c r="V27">
        <f>HYPERLINK("https://klasma.github.io/Logging_0561/klagomål/A 50450-2018 FSC-klagomål.docx", "A 50450-2018")</f>
        <v/>
      </c>
      <c r="W27">
        <f>HYPERLINK("https://klasma.github.io/Logging_0561/klagomålsmail/A 50450-2018 FSC-klagomål mail.docx", "A 50450-2018")</f>
        <v/>
      </c>
      <c r="X27">
        <f>HYPERLINK("https://klasma.github.io/Logging_0561/tillsyn/A 50450-2018 tillsynsbegäran.docx", "A 50450-2018")</f>
        <v/>
      </c>
      <c r="Y27">
        <f>HYPERLINK("https://klasma.github.io/Logging_0561/tillsynsmail/A 50450-2018 tillsynsbegäran mail.docx", "A 50450-2018")</f>
        <v/>
      </c>
    </row>
    <row r="28" ht="15" customHeight="1">
      <c r="A28" t="inlineStr">
        <is>
          <t>A 54257-2018</t>
        </is>
      </c>
      <c r="B28" s="1" t="n">
        <v>43393</v>
      </c>
      <c r="C28" s="1" t="n">
        <v>45362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HYPERLINK("https://klasma.github.io/Logging_0561/artfynd/A 54257-2018 artfynd.xlsx", "A 54257-2018")</f>
        <v/>
      </c>
      <c r="T28">
        <f>HYPERLINK("https://klasma.github.io/Logging_0561/kartor/A 54257-2018 karta.png", "A 54257-2018")</f>
        <v/>
      </c>
      <c r="U28">
        <f>HYPERLINK("https://klasma.github.io/Logging_0561/knärot/A 54257-2018 karta knärot.png", "A 54257-2018")</f>
        <v/>
      </c>
      <c r="V28">
        <f>HYPERLINK("https://klasma.github.io/Logging_0561/klagomål/A 54257-2018 FSC-klagomål.docx", "A 54257-2018")</f>
        <v/>
      </c>
      <c r="W28">
        <f>HYPERLINK("https://klasma.github.io/Logging_0561/klagomålsmail/A 54257-2018 FSC-klagomål mail.docx", "A 54257-2018")</f>
        <v/>
      </c>
      <c r="X28">
        <f>HYPERLINK("https://klasma.github.io/Logging_0561/tillsyn/A 54257-2018 tillsynsbegäran.docx", "A 54257-2018")</f>
        <v/>
      </c>
      <c r="Y28">
        <f>HYPERLINK("https://klasma.github.io/Logging_0561/tillsynsmail/A 54257-2018 tillsynsbegäran mail.docx", "A 54257-2018")</f>
        <v/>
      </c>
    </row>
    <row r="29" ht="15" customHeight="1">
      <c r="A29" t="inlineStr">
        <is>
          <t>A 60828-2018</t>
        </is>
      </c>
      <c r="B29" s="1" t="n">
        <v>43410</v>
      </c>
      <c r="C29" s="1" t="n">
        <v>45362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HYPERLINK("https://klasma.github.io/Logging_0561/artfynd/A 60828-2018 artfynd.xlsx", "A 60828-2018")</f>
        <v/>
      </c>
      <c r="T29">
        <f>HYPERLINK("https://klasma.github.io/Logging_0561/kartor/A 60828-2018 karta.png", "A 60828-2018")</f>
        <v/>
      </c>
      <c r="V29">
        <f>HYPERLINK("https://klasma.github.io/Logging_0561/klagomål/A 60828-2018 FSC-klagomål.docx", "A 60828-2018")</f>
        <v/>
      </c>
      <c r="W29">
        <f>HYPERLINK("https://klasma.github.io/Logging_0561/klagomålsmail/A 60828-2018 FSC-klagomål mail.docx", "A 60828-2018")</f>
        <v/>
      </c>
      <c r="X29">
        <f>HYPERLINK("https://klasma.github.io/Logging_0561/tillsyn/A 60828-2018 tillsynsbegäran.docx", "A 60828-2018")</f>
        <v/>
      </c>
      <c r="Y29">
        <f>HYPERLINK("https://klasma.github.io/Logging_0561/tillsynsmail/A 60828-2018 tillsynsbegäran mail.docx", "A 60828-2018")</f>
        <v/>
      </c>
    </row>
    <row r="30" ht="15" customHeight="1">
      <c r="A30" t="inlineStr">
        <is>
          <t>A 70582-2018</t>
        </is>
      </c>
      <c r="B30" s="1" t="n">
        <v>43451</v>
      </c>
      <c r="C30" s="1" t="n">
        <v>45362</v>
      </c>
      <c r="D30" t="inlineStr">
        <is>
          <t>ÖSTERGÖTLANDS LÄN</t>
        </is>
      </c>
      <c r="E30" t="inlineStr">
        <is>
          <t>ÅTVIDABERG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HYPERLINK("https://klasma.github.io/Logging_0561/artfynd/A 70582-2018 artfynd.xlsx", "A 70582-2018")</f>
        <v/>
      </c>
      <c r="T30">
        <f>HYPERLINK("https://klasma.github.io/Logging_0561/kartor/A 70582-2018 karta.png", "A 70582-2018")</f>
        <v/>
      </c>
      <c r="V30">
        <f>HYPERLINK("https://klasma.github.io/Logging_0561/klagomål/A 70582-2018 FSC-klagomål.docx", "A 70582-2018")</f>
        <v/>
      </c>
      <c r="W30">
        <f>HYPERLINK("https://klasma.github.io/Logging_0561/klagomålsmail/A 70582-2018 FSC-klagomål mail.docx", "A 70582-2018")</f>
        <v/>
      </c>
      <c r="X30">
        <f>HYPERLINK("https://klasma.github.io/Logging_0561/tillsyn/A 70582-2018 tillsynsbegäran.docx", "A 70582-2018")</f>
        <v/>
      </c>
      <c r="Y30">
        <f>HYPERLINK("https://klasma.github.io/Logging_0561/tillsynsmail/A 70582-2018 tillsynsbegäran mail.docx", "A 70582-2018")</f>
        <v/>
      </c>
    </row>
    <row r="31" ht="15" customHeight="1">
      <c r="A31" t="inlineStr">
        <is>
          <t>A 7241-2020</t>
        </is>
      </c>
      <c r="B31" s="1" t="n">
        <v>43871</v>
      </c>
      <c r="C31" s="1" t="n">
        <v>45362</v>
      </c>
      <c r="D31" t="inlineStr">
        <is>
          <t>ÖSTERGÖTLANDS LÄN</t>
        </is>
      </c>
      <c r="E31" t="inlineStr">
        <is>
          <t>ÅTVIDABERG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HYPERLINK("https://klasma.github.io/Logging_0561/artfynd/A 7241-2020 artfynd.xlsx", "A 7241-2020")</f>
        <v/>
      </c>
      <c r="T31">
        <f>HYPERLINK("https://klasma.github.io/Logging_0561/kartor/A 7241-2020 karta.png", "A 7241-2020")</f>
        <v/>
      </c>
      <c r="V31">
        <f>HYPERLINK("https://klasma.github.io/Logging_0561/klagomål/A 7241-2020 FSC-klagomål.docx", "A 7241-2020")</f>
        <v/>
      </c>
      <c r="W31">
        <f>HYPERLINK("https://klasma.github.io/Logging_0561/klagomålsmail/A 7241-2020 FSC-klagomål mail.docx", "A 7241-2020")</f>
        <v/>
      </c>
      <c r="X31">
        <f>HYPERLINK("https://klasma.github.io/Logging_0561/tillsyn/A 7241-2020 tillsynsbegäran.docx", "A 7241-2020")</f>
        <v/>
      </c>
      <c r="Y31">
        <f>HYPERLINK("https://klasma.github.io/Logging_0561/tillsynsmail/A 7241-2020 tillsynsbegäran mail.docx", "A 7241-2020")</f>
        <v/>
      </c>
    </row>
    <row r="32" ht="15" customHeight="1">
      <c r="A32" t="inlineStr">
        <is>
          <t>A 30273-2020</t>
        </is>
      </c>
      <c r="B32" s="1" t="n">
        <v>44007</v>
      </c>
      <c r="C32" s="1" t="n">
        <v>45362</v>
      </c>
      <c r="D32" t="inlineStr">
        <is>
          <t>ÖSTERGÖTLANDS LÄN</t>
        </is>
      </c>
      <c r="E32" t="inlineStr">
        <is>
          <t>ÅTVIDABERG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HYPERLINK("https://klasma.github.io/Logging_0561/artfynd/A 30273-2020 artfynd.xlsx", "A 30273-2020")</f>
        <v/>
      </c>
      <c r="T32">
        <f>HYPERLINK("https://klasma.github.io/Logging_0561/kartor/A 30273-2020 karta.png", "A 30273-2020")</f>
        <v/>
      </c>
      <c r="V32">
        <f>HYPERLINK("https://klasma.github.io/Logging_0561/klagomål/A 30273-2020 FSC-klagomål.docx", "A 30273-2020")</f>
        <v/>
      </c>
      <c r="W32">
        <f>HYPERLINK("https://klasma.github.io/Logging_0561/klagomålsmail/A 30273-2020 FSC-klagomål mail.docx", "A 30273-2020")</f>
        <v/>
      </c>
      <c r="X32">
        <f>HYPERLINK("https://klasma.github.io/Logging_0561/tillsyn/A 30273-2020 tillsynsbegäran.docx", "A 30273-2020")</f>
        <v/>
      </c>
      <c r="Y32">
        <f>HYPERLINK("https://klasma.github.io/Logging_0561/tillsynsmail/A 30273-2020 tillsynsbegäran mail.docx", "A 30273-2020")</f>
        <v/>
      </c>
    </row>
    <row r="33" ht="15" customHeight="1">
      <c r="A33" t="inlineStr">
        <is>
          <t>A 58735-2020</t>
        </is>
      </c>
      <c r="B33" s="1" t="n">
        <v>44145</v>
      </c>
      <c r="C33" s="1" t="n">
        <v>45362</v>
      </c>
      <c r="D33" t="inlineStr">
        <is>
          <t>ÖSTERGÖTLANDS LÄN</t>
        </is>
      </c>
      <c r="E33" t="inlineStr">
        <is>
          <t>ÅTVIDABERG</t>
        </is>
      </c>
      <c r="G33" t="n">
        <v>1.5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HYPERLINK("https://klasma.github.io/Logging_0561/artfynd/A 58735-2020 artfynd.xlsx", "A 58735-2020")</f>
        <v/>
      </c>
      <c r="T33">
        <f>HYPERLINK("https://klasma.github.io/Logging_0561/kartor/A 58735-2020 karta.png", "A 58735-2020")</f>
        <v/>
      </c>
      <c r="V33">
        <f>HYPERLINK("https://klasma.github.io/Logging_0561/klagomål/A 58735-2020 FSC-klagomål.docx", "A 58735-2020")</f>
        <v/>
      </c>
      <c r="W33">
        <f>HYPERLINK("https://klasma.github.io/Logging_0561/klagomålsmail/A 58735-2020 FSC-klagomål mail.docx", "A 58735-2020")</f>
        <v/>
      </c>
      <c r="X33">
        <f>HYPERLINK("https://klasma.github.io/Logging_0561/tillsyn/A 58735-2020 tillsynsbegäran.docx", "A 58735-2020")</f>
        <v/>
      </c>
      <c r="Y33">
        <f>HYPERLINK("https://klasma.github.io/Logging_0561/tillsynsmail/A 58735-2020 tillsynsbegäran mail.docx", "A 58735-2020")</f>
        <v/>
      </c>
    </row>
    <row r="34" ht="15" customHeight="1">
      <c r="A34" t="inlineStr">
        <is>
          <t>A 67252-2020</t>
        </is>
      </c>
      <c r="B34" s="1" t="n">
        <v>44181</v>
      </c>
      <c r="C34" s="1" t="n">
        <v>45362</v>
      </c>
      <c r="D34" t="inlineStr">
        <is>
          <t>ÖSTERGÖTLANDS LÄN</t>
        </is>
      </c>
      <c r="E34" t="inlineStr">
        <is>
          <t>ÅTVIDABERG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67252-2020 artfynd.xlsx", "A 67252-2020")</f>
        <v/>
      </c>
      <c r="T34">
        <f>HYPERLINK("https://klasma.github.io/Logging_0561/kartor/A 67252-2020 karta.png", "A 67252-2020")</f>
        <v/>
      </c>
      <c r="V34">
        <f>HYPERLINK("https://klasma.github.io/Logging_0561/klagomål/A 67252-2020 FSC-klagomål.docx", "A 67252-2020")</f>
        <v/>
      </c>
      <c r="W34">
        <f>HYPERLINK("https://klasma.github.io/Logging_0561/klagomålsmail/A 67252-2020 FSC-klagomål mail.docx", "A 67252-2020")</f>
        <v/>
      </c>
      <c r="X34">
        <f>HYPERLINK("https://klasma.github.io/Logging_0561/tillsyn/A 67252-2020 tillsynsbegäran.docx", "A 67252-2020")</f>
        <v/>
      </c>
      <c r="Y34">
        <f>HYPERLINK("https://klasma.github.io/Logging_0561/tillsynsmail/A 67252-2020 tillsynsbegäran mail.docx", "A 67252-2020")</f>
        <v/>
      </c>
    </row>
    <row r="35" ht="15" customHeight="1">
      <c r="A35" t="inlineStr">
        <is>
          <t>A 67653-2020</t>
        </is>
      </c>
      <c r="B35" s="1" t="n">
        <v>44182</v>
      </c>
      <c r="C35" s="1" t="n">
        <v>45362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67653-2020 artfynd.xlsx", "A 67653-2020")</f>
        <v/>
      </c>
      <c r="T35">
        <f>HYPERLINK("https://klasma.github.io/Logging_0561/kartor/A 67653-2020 karta.png", "A 67653-2020")</f>
        <v/>
      </c>
      <c r="V35">
        <f>HYPERLINK("https://klasma.github.io/Logging_0561/klagomål/A 67653-2020 FSC-klagomål.docx", "A 67653-2020")</f>
        <v/>
      </c>
      <c r="W35">
        <f>HYPERLINK("https://klasma.github.io/Logging_0561/klagomålsmail/A 67653-2020 FSC-klagomål mail.docx", "A 67653-2020")</f>
        <v/>
      </c>
      <c r="X35">
        <f>HYPERLINK("https://klasma.github.io/Logging_0561/tillsyn/A 67653-2020 tillsynsbegäran.docx", "A 67653-2020")</f>
        <v/>
      </c>
      <c r="Y35">
        <f>HYPERLINK("https://klasma.github.io/Logging_0561/tillsynsmail/A 67653-2020 tillsynsbegäran mail.docx", "A 67653-2020")</f>
        <v/>
      </c>
    </row>
    <row r="36" ht="15" customHeight="1">
      <c r="A36" t="inlineStr">
        <is>
          <t>A 910-2021</t>
        </is>
      </c>
      <c r="B36" s="1" t="n">
        <v>44207</v>
      </c>
      <c r="C36" s="1" t="n">
        <v>45362</v>
      </c>
      <c r="D36" t="inlineStr">
        <is>
          <t>ÖSTERGÖTLANDS LÄN</t>
        </is>
      </c>
      <c r="E36" t="inlineStr">
        <is>
          <t>ÅTVIDABERG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HYPERLINK("https://klasma.github.io/Logging_0561/artfynd/A 910-2021 artfynd.xlsx", "A 910-2021")</f>
        <v/>
      </c>
      <c r="T36">
        <f>HYPERLINK("https://klasma.github.io/Logging_0561/kartor/A 910-2021 karta.png", "A 910-2021")</f>
        <v/>
      </c>
      <c r="V36">
        <f>HYPERLINK("https://klasma.github.io/Logging_0561/klagomål/A 910-2021 FSC-klagomål.docx", "A 910-2021")</f>
        <v/>
      </c>
      <c r="W36">
        <f>HYPERLINK("https://klasma.github.io/Logging_0561/klagomålsmail/A 910-2021 FSC-klagomål mail.docx", "A 910-2021")</f>
        <v/>
      </c>
      <c r="X36">
        <f>HYPERLINK("https://klasma.github.io/Logging_0561/tillsyn/A 910-2021 tillsynsbegäran.docx", "A 910-2021")</f>
        <v/>
      </c>
      <c r="Y36">
        <f>HYPERLINK("https://klasma.github.io/Logging_0561/tillsynsmail/A 910-2021 tillsynsbegäran mail.docx", "A 910-2021")</f>
        <v/>
      </c>
    </row>
    <row r="37" ht="15" customHeight="1">
      <c r="A37" t="inlineStr">
        <is>
          <t>A 6299-2021</t>
        </is>
      </c>
      <c r="B37" s="1" t="n">
        <v>44232</v>
      </c>
      <c r="C37" s="1" t="n">
        <v>45362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6299-2021 artfynd.xlsx", "A 6299-2021")</f>
        <v/>
      </c>
      <c r="T37">
        <f>HYPERLINK("https://klasma.github.io/Logging_0561/kartor/A 6299-2021 karta.png", "A 6299-2021")</f>
        <v/>
      </c>
      <c r="V37">
        <f>HYPERLINK("https://klasma.github.io/Logging_0561/klagomål/A 6299-2021 FSC-klagomål.docx", "A 6299-2021")</f>
        <v/>
      </c>
      <c r="W37">
        <f>HYPERLINK("https://klasma.github.io/Logging_0561/klagomålsmail/A 6299-2021 FSC-klagomål mail.docx", "A 6299-2021")</f>
        <v/>
      </c>
      <c r="X37">
        <f>HYPERLINK("https://klasma.github.io/Logging_0561/tillsyn/A 6299-2021 tillsynsbegäran.docx", "A 6299-2021")</f>
        <v/>
      </c>
      <c r="Y37">
        <f>HYPERLINK("https://klasma.github.io/Logging_0561/tillsynsmail/A 6299-2021 tillsynsbegäran mail.docx", "A 6299-2021")</f>
        <v/>
      </c>
    </row>
    <row r="38" ht="15" customHeight="1">
      <c r="A38" t="inlineStr">
        <is>
          <t>A 8815-2021</t>
        </is>
      </c>
      <c r="B38" s="1" t="n">
        <v>44246</v>
      </c>
      <c r="C38" s="1" t="n">
        <v>45362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HYPERLINK("https://klasma.github.io/Logging_0561/artfynd/A 8815-2021 artfynd.xlsx", "A 8815-2021")</f>
        <v/>
      </c>
      <c r="T38">
        <f>HYPERLINK("https://klasma.github.io/Logging_0561/kartor/A 8815-2021 karta.png", "A 8815-2021")</f>
        <v/>
      </c>
      <c r="V38">
        <f>HYPERLINK("https://klasma.github.io/Logging_0561/klagomål/A 8815-2021 FSC-klagomål.docx", "A 8815-2021")</f>
        <v/>
      </c>
      <c r="W38">
        <f>HYPERLINK("https://klasma.github.io/Logging_0561/klagomålsmail/A 8815-2021 FSC-klagomål mail.docx", "A 8815-2021")</f>
        <v/>
      </c>
      <c r="X38">
        <f>HYPERLINK("https://klasma.github.io/Logging_0561/tillsyn/A 8815-2021 tillsynsbegäran.docx", "A 8815-2021")</f>
        <v/>
      </c>
      <c r="Y38">
        <f>HYPERLINK("https://klasma.github.io/Logging_0561/tillsynsmail/A 8815-2021 tillsynsbegäran mail.docx", "A 8815-2021")</f>
        <v/>
      </c>
    </row>
    <row r="39" ht="15" customHeight="1">
      <c r="A39" t="inlineStr">
        <is>
          <t>A 39488-2021</t>
        </is>
      </c>
      <c r="B39" s="1" t="n">
        <v>44414</v>
      </c>
      <c r="C39" s="1" t="n">
        <v>45362</v>
      </c>
      <c r="D39" t="inlineStr">
        <is>
          <t>ÖSTERGÖTLANDS LÄN</t>
        </is>
      </c>
      <c r="E39" t="inlineStr">
        <is>
          <t>ÅTVIDABERG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HYPERLINK("https://klasma.github.io/Logging_0561/artfynd/A 39488-2021 artfynd.xlsx", "A 39488-2021")</f>
        <v/>
      </c>
      <c r="T39">
        <f>HYPERLINK("https://klasma.github.io/Logging_0561/kartor/A 39488-2021 karta.png", "A 39488-2021")</f>
        <v/>
      </c>
      <c r="V39">
        <f>HYPERLINK("https://klasma.github.io/Logging_0561/klagomål/A 39488-2021 FSC-klagomål.docx", "A 39488-2021")</f>
        <v/>
      </c>
      <c r="W39">
        <f>HYPERLINK("https://klasma.github.io/Logging_0561/klagomålsmail/A 39488-2021 FSC-klagomål mail.docx", "A 39488-2021")</f>
        <v/>
      </c>
      <c r="X39">
        <f>HYPERLINK("https://klasma.github.io/Logging_0561/tillsyn/A 39488-2021 tillsynsbegäran.docx", "A 39488-2021")</f>
        <v/>
      </c>
      <c r="Y39">
        <f>HYPERLINK("https://klasma.github.io/Logging_0561/tillsynsmail/A 39488-2021 tillsynsbegäran mail.docx", "A 39488-2021")</f>
        <v/>
      </c>
    </row>
    <row r="40" ht="15" customHeight="1">
      <c r="A40" t="inlineStr">
        <is>
          <t>A 53088-2021</t>
        </is>
      </c>
      <c r="B40" s="1" t="n">
        <v>44467</v>
      </c>
      <c r="C40" s="1" t="n">
        <v>45362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45362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45362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9976-2022</t>
        </is>
      </c>
      <c r="B43" s="1" t="n">
        <v>44621</v>
      </c>
      <c r="C43" s="1" t="n">
        <v>45362</v>
      </c>
      <c r="D43" t="inlineStr">
        <is>
          <t>ÖSTERGÖTLANDS LÄN</t>
        </is>
      </c>
      <c r="E43" t="inlineStr">
        <is>
          <t>ÅTVIDABERG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HYPERLINK("https://klasma.github.io/Logging_0561/artfynd/A 9976-2022 artfynd.xlsx", "A 9976-2022")</f>
        <v/>
      </c>
      <c r="T43">
        <f>HYPERLINK("https://klasma.github.io/Logging_0561/kartor/A 9976-2022 karta.png", "A 9976-2022")</f>
        <v/>
      </c>
      <c r="V43">
        <f>HYPERLINK("https://klasma.github.io/Logging_0561/klagomål/A 9976-2022 FSC-klagomål.docx", "A 9976-2022")</f>
        <v/>
      </c>
      <c r="W43">
        <f>HYPERLINK("https://klasma.github.io/Logging_0561/klagomålsmail/A 9976-2022 FSC-klagomål mail.docx", "A 9976-2022")</f>
        <v/>
      </c>
      <c r="X43">
        <f>HYPERLINK("https://klasma.github.io/Logging_0561/tillsyn/A 9976-2022 tillsynsbegäran.docx", "A 9976-2022")</f>
        <v/>
      </c>
      <c r="Y43">
        <f>HYPERLINK("https://klasma.github.io/Logging_0561/tillsynsmail/A 9976-2022 tillsynsbegäran mail.docx", "A 9976-2022")</f>
        <v/>
      </c>
    </row>
    <row r="44" ht="15" customHeight="1">
      <c r="A44" t="inlineStr">
        <is>
          <t>A 27457-2022</t>
        </is>
      </c>
      <c r="B44" s="1" t="n">
        <v>44742</v>
      </c>
      <c r="C44" s="1" t="n">
        <v>45362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HYPERLINK("https://klasma.github.io/Logging_0561/artfynd/A 27457-2022 artfynd.xlsx", "A 27457-2022")</f>
        <v/>
      </c>
      <c r="T44">
        <f>HYPERLINK("https://klasma.github.io/Logging_0561/kartor/A 27457-2022 karta.png", "A 27457-2022")</f>
        <v/>
      </c>
      <c r="V44">
        <f>HYPERLINK("https://klasma.github.io/Logging_0561/klagomål/A 27457-2022 FSC-klagomål.docx", "A 27457-2022")</f>
        <v/>
      </c>
      <c r="W44">
        <f>HYPERLINK("https://klasma.github.io/Logging_0561/klagomålsmail/A 27457-2022 FSC-klagomål mail.docx", "A 27457-2022")</f>
        <v/>
      </c>
      <c r="X44">
        <f>HYPERLINK("https://klasma.github.io/Logging_0561/tillsyn/A 27457-2022 tillsynsbegäran.docx", "A 27457-2022")</f>
        <v/>
      </c>
      <c r="Y44">
        <f>HYPERLINK("https://klasma.github.io/Logging_0561/tillsynsmail/A 27457-2022 tillsynsbegäran mail.docx", "A 27457-2022")</f>
        <v/>
      </c>
    </row>
    <row r="45" ht="15" customHeight="1">
      <c r="A45" t="inlineStr">
        <is>
          <t>A 33310-2022</t>
        </is>
      </c>
      <c r="B45" s="1" t="n">
        <v>44788</v>
      </c>
      <c r="C45" s="1" t="n">
        <v>45362</v>
      </c>
      <c r="D45" t="inlineStr">
        <is>
          <t>ÖSTERGÖTLANDS LÄN</t>
        </is>
      </c>
      <c r="E45" t="inlineStr">
        <is>
          <t>ÅTVIDABERG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HYPERLINK("https://klasma.github.io/Logging_0561/artfynd/A 33310-2022 artfynd.xlsx", "A 33310-2022")</f>
        <v/>
      </c>
      <c r="T45">
        <f>HYPERLINK("https://klasma.github.io/Logging_0561/kartor/A 33310-2022 karta.png", "A 33310-2022")</f>
        <v/>
      </c>
      <c r="U45">
        <f>HYPERLINK("https://klasma.github.io/Logging_0561/knärot/A 33310-2022 karta knärot.png", "A 33310-2022")</f>
        <v/>
      </c>
      <c r="V45">
        <f>HYPERLINK("https://klasma.github.io/Logging_0561/klagomål/A 33310-2022 FSC-klagomål.docx", "A 33310-2022")</f>
        <v/>
      </c>
      <c r="W45">
        <f>HYPERLINK("https://klasma.github.io/Logging_0561/klagomålsmail/A 33310-2022 FSC-klagomål mail.docx", "A 33310-2022")</f>
        <v/>
      </c>
      <c r="X45">
        <f>HYPERLINK("https://klasma.github.io/Logging_0561/tillsyn/A 33310-2022 tillsynsbegäran.docx", "A 33310-2022")</f>
        <v/>
      </c>
      <c r="Y45">
        <f>HYPERLINK("https://klasma.github.io/Logging_0561/tillsynsmail/A 33310-2022 tillsynsbegäran mail.docx", "A 33310-2022")</f>
        <v/>
      </c>
    </row>
    <row r="46" ht="15" customHeight="1">
      <c r="A46" t="inlineStr">
        <is>
          <t>A 53186-2022</t>
        </is>
      </c>
      <c r="B46" s="1" t="n">
        <v>44874</v>
      </c>
      <c r="C46" s="1" t="n">
        <v>45362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53186-2022 artfynd.xlsx", "A 53186-2022")</f>
        <v/>
      </c>
      <c r="T46">
        <f>HYPERLINK("https://klasma.github.io/Logging_0561/kartor/A 53186-2022 karta.png", "A 53186-2022")</f>
        <v/>
      </c>
      <c r="V46">
        <f>HYPERLINK("https://klasma.github.io/Logging_0561/klagomål/A 53186-2022 FSC-klagomål.docx", "A 53186-2022")</f>
        <v/>
      </c>
      <c r="W46">
        <f>HYPERLINK("https://klasma.github.io/Logging_0561/klagomålsmail/A 53186-2022 FSC-klagomål mail.docx", "A 53186-2022")</f>
        <v/>
      </c>
      <c r="X46">
        <f>HYPERLINK("https://klasma.github.io/Logging_0561/tillsyn/A 53186-2022 tillsynsbegäran.docx", "A 53186-2022")</f>
        <v/>
      </c>
      <c r="Y46">
        <f>HYPERLINK("https://klasma.github.io/Logging_0561/tillsynsmail/A 53186-2022 tillsynsbegäran mail.docx", "A 53186-2022")</f>
        <v/>
      </c>
      <c r="Z46">
        <f>HYPERLINK("https://klasma.github.io/Logging_0561/fåglar/A 53186-2022 prioriterade fågelarter.docx", "A 53186-2022")</f>
        <v/>
      </c>
    </row>
    <row r="47" ht="15" customHeight="1">
      <c r="A47" t="inlineStr">
        <is>
          <t>A 62388-2022</t>
        </is>
      </c>
      <c r="B47" s="1" t="n">
        <v>44923</v>
      </c>
      <c r="C47" s="1" t="n">
        <v>45362</v>
      </c>
      <c r="D47" t="inlineStr">
        <is>
          <t>ÖSTERGÖTLANDS LÄN</t>
        </is>
      </c>
      <c r="E47" t="inlineStr">
        <is>
          <t>ÅTVIDABERG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62388-2022 artfynd.xlsx", "A 62388-2022")</f>
        <v/>
      </c>
      <c r="T47">
        <f>HYPERLINK("https://klasma.github.io/Logging_0561/kartor/A 62388-2022 karta.png", "A 62388-2022")</f>
        <v/>
      </c>
      <c r="V47">
        <f>HYPERLINK("https://klasma.github.io/Logging_0561/klagomål/A 62388-2022 FSC-klagomål.docx", "A 62388-2022")</f>
        <v/>
      </c>
      <c r="W47">
        <f>HYPERLINK("https://klasma.github.io/Logging_0561/klagomålsmail/A 62388-2022 FSC-klagomål mail.docx", "A 62388-2022")</f>
        <v/>
      </c>
      <c r="X47">
        <f>HYPERLINK("https://klasma.github.io/Logging_0561/tillsyn/A 62388-2022 tillsynsbegäran.docx", "A 62388-2022")</f>
        <v/>
      </c>
      <c r="Y47">
        <f>HYPERLINK("https://klasma.github.io/Logging_0561/tillsynsmail/A 62388-2022 tillsynsbegäran mail.docx", "A 62388-2022")</f>
        <v/>
      </c>
      <c r="Z47">
        <f>HYPERLINK("https://klasma.github.io/Logging_0561/fåglar/A 62388-2022 prioriterade fågelarter.docx", "A 62388-2022")</f>
        <v/>
      </c>
    </row>
    <row r="48" ht="15" customHeight="1">
      <c r="A48" t="inlineStr">
        <is>
          <t>A 1126-2023</t>
        </is>
      </c>
      <c r="B48" s="1" t="n">
        <v>44935</v>
      </c>
      <c r="C48" s="1" t="n">
        <v>45362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HYPERLINK("https://klasma.github.io/Logging_0561/artfynd/A 1126-2023 artfynd.xlsx", "A 1126-2023")</f>
        <v/>
      </c>
      <c r="T48">
        <f>HYPERLINK("https://klasma.github.io/Logging_0561/kartor/A 1126-2023 karta.png", "A 1126-2023")</f>
        <v/>
      </c>
      <c r="V48">
        <f>HYPERLINK("https://klasma.github.io/Logging_0561/klagomål/A 1126-2023 FSC-klagomål.docx", "A 1126-2023")</f>
        <v/>
      </c>
      <c r="W48">
        <f>HYPERLINK("https://klasma.github.io/Logging_0561/klagomålsmail/A 1126-2023 FSC-klagomål mail.docx", "A 1126-2023")</f>
        <v/>
      </c>
      <c r="X48">
        <f>HYPERLINK("https://klasma.github.io/Logging_0561/tillsyn/A 1126-2023 tillsynsbegäran.docx", "A 1126-2023")</f>
        <v/>
      </c>
      <c r="Y48">
        <f>HYPERLINK("https://klasma.github.io/Logging_0561/tillsynsmail/A 1126-2023 tillsynsbegäran mail.docx", "A 1126-2023")</f>
        <v/>
      </c>
    </row>
    <row r="49" ht="15" customHeight="1">
      <c r="A49" t="inlineStr">
        <is>
          <t>A 22949-2023</t>
        </is>
      </c>
      <c r="B49" s="1" t="n">
        <v>45072</v>
      </c>
      <c r="C49" s="1" t="n">
        <v>45362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Sveaskog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HYPERLINK("https://klasma.github.io/Logging_0561/artfynd/A 22949-2023 artfynd.xlsx", "A 22949-2023")</f>
        <v/>
      </c>
      <c r="T49">
        <f>HYPERLINK("https://klasma.github.io/Logging_0561/kartor/A 22949-2023 karta.png", "A 22949-2023")</f>
        <v/>
      </c>
      <c r="V49">
        <f>HYPERLINK("https://klasma.github.io/Logging_0561/klagomål/A 22949-2023 FSC-klagomål.docx", "A 22949-2023")</f>
        <v/>
      </c>
      <c r="W49">
        <f>HYPERLINK("https://klasma.github.io/Logging_0561/klagomålsmail/A 22949-2023 FSC-klagomål mail.docx", "A 22949-2023")</f>
        <v/>
      </c>
      <c r="X49">
        <f>HYPERLINK("https://klasma.github.io/Logging_0561/tillsyn/A 22949-2023 tillsynsbegäran.docx", "A 22949-2023")</f>
        <v/>
      </c>
      <c r="Y49">
        <f>HYPERLINK("https://klasma.github.io/Logging_0561/tillsynsmail/A 22949-2023 tillsynsbegäran mail.docx", "A 22949-2023")</f>
        <v/>
      </c>
    </row>
    <row r="50" ht="15" customHeight="1">
      <c r="A50" t="inlineStr">
        <is>
          <t>A 32738-2023</t>
        </is>
      </c>
      <c r="B50" s="1" t="n">
        <v>45122</v>
      </c>
      <c r="C50" s="1" t="n">
        <v>45362</v>
      </c>
      <c r="D50" t="inlineStr">
        <is>
          <t>ÖSTERGÖTLANDS LÄN</t>
        </is>
      </c>
      <c r="E50" t="inlineStr">
        <is>
          <t>ÅTVIDABERG</t>
        </is>
      </c>
      <c r="G50" t="n">
        <v>2.8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32738-2023 artfynd.xlsx", "A 32738-2023")</f>
        <v/>
      </c>
      <c r="T50">
        <f>HYPERLINK("https://klasma.github.io/Logging_0561/kartor/A 32738-2023 karta.png", "A 32738-2023")</f>
        <v/>
      </c>
      <c r="U50">
        <f>HYPERLINK("https://klasma.github.io/Logging_0561/knärot/A 32738-2023 karta knärot.png", "A 32738-2023")</f>
        <v/>
      </c>
      <c r="V50">
        <f>HYPERLINK("https://klasma.github.io/Logging_0561/klagomål/A 32738-2023 FSC-klagomål.docx", "A 32738-2023")</f>
        <v/>
      </c>
      <c r="W50">
        <f>HYPERLINK("https://klasma.github.io/Logging_0561/klagomålsmail/A 32738-2023 FSC-klagomål mail.docx", "A 32738-2023")</f>
        <v/>
      </c>
      <c r="X50">
        <f>HYPERLINK("https://klasma.github.io/Logging_0561/tillsyn/A 32738-2023 tillsynsbegäran.docx", "A 32738-2023")</f>
        <v/>
      </c>
      <c r="Y50">
        <f>HYPERLINK("https://klasma.github.io/Logging_0561/tillsynsmail/A 32738-2023 tillsynsbegäran mail.docx", "A 32738-2023")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45362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42486-2023</t>
        </is>
      </c>
      <c r="B52" s="1" t="n">
        <v>45180</v>
      </c>
      <c r="C52" s="1" t="n">
        <v>45362</v>
      </c>
      <c r="D52" t="inlineStr">
        <is>
          <t>ÖSTERGÖTLANDS LÄN</t>
        </is>
      </c>
      <c r="E52" t="inlineStr">
        <is>
          <t>ÅTVIDABERG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42486-2023 artfynd.xlsx", "A 42486-2023")</f>
        <v/>
      </c>
      <c r="T52">
        <f>HYPERLINK("https://klasma.github.io/Logging_0561/kartor/A 42486-2023 karta.png", "A 42486-2023")</f>
        <v/>
      </c>
      <c r="V52">
        <f>HYPERLINK("https://klasma.github.io/Logging_0561/klagomål/A 42486-2023 FSC-klagomål.docx", "A 42486-2023")</f>
        <v/>
      </c>
      <c r="W52">
        <f>HYPERLINK("https://klasma.github.io/Logging_0561/klagomålsmail/A 42486-2023 FSC-klagomål mail.docx", "A 42486-2023")</f>
        <v/>
      </c>
      <c r="X52">
        <f>HYPERLINK("https://klasma.github.io/Logging_0561/tillsyn/A 42486-2023 tillsynsbegäran.docx", "A 42486-2023")</f>
        <v/>
      </c>
      <c r="Y52">
        <f>HYPERLINK("https://klasma.github.io/Logging_0561/tillsynsmail/A 42486-2023 tillsynsbegäran mail.docx", "A 42486-2023")</f>
        <v/>
      </c>
    </row>
    <row r="53" ht="15" customHeight="1">
      <c r="A53" t="inlineStr">
        <is>
          <t>A 50811-2023</t>
        </is>
      </c>
      <c r="B53" s="1" t="n">
        <v>45217</v>
      </c>
      <c r="C53" s="1" t="n">
        <v>45362</v>
      </c>
      <c r="D53" t="inlineStr">
        <is>
          <t>ÖSTERGÖTLANDS LÄN</t>
        </is>
      </c>
      <c r="E53" t="inlineStr">
        <is>
          <t>ÅTVIDABERG</t>
        </is>
      </c>
      <c r="G53" t="n">
        <v>4.9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Dårgräsfjäril</t>
        </is>
      </c>
      <c r="S53">
        <f>HYPERLINK("https://klasma.github.io/Logging_0561/artfynd/A 50811-2023 artfynd.xlsx", "A 50811-2023")</f>
        <v/>
      </c>
      <c r="T53">
        <f>HYPERLINK("https://klasma.github.io/Logging_0561/kartor/A 50811-2023 karta.png", "A 50811-2023")</f>
        <v/>
      </c>
      <c r="V53">
        <f>HYPERLINK("https://klasma.github.io/Logging_0561/klagomål/A 50811-2023 FSC-klagomål.docx", "A 50811-2023")</f>
        <v/>
      </c>
      <c r="W53">
        <f>HYPERLINK("https://klasma.github.io/Logging_0561/klagomålsmail/A 50811-2023 FSC-klagomål mail.docx", "A 50811-2023")</f>
        <v/>
      </c>
      <c r="X53">
        <f>HYPERLINK("https://klasma.github.io/Logging_0561/tillsyn/A 50811-2023 tillsynsbegäran.docx", "A 50811-2023")</f>
        <v/>
      </c>
      <c r="Y53">
        <f>HYPERLINK("https://klasma.github.io/Logging_0561/tillsynsmail/A 50811-2023 tillsynsbegäran mail.docx", "A 50811-2023")</f>
        <v/>
      </c>
    </row>
    <row r="54" ht="15" customHeight="1">
      <c r="A54" t="inlineStr">
        <is>
          <t>A 62614-2023</t>
        </is>
      </c>
      <c r="B54" s="1" t="n">
        <v>45271</v>
      </c>
      <c r="C54" s="1" t="n">
        <v>45362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HYPERLINK("https://klasma.github.io/Logging_0561/artfynd/A 62614-2023 artfynd.xlsx", "A 62614-2023")</f>
        <v/>
      </c>
      <c r="T54">
        <f>HYPERLINK("https://klasma.github.io/Logging_0561/kartor/A 62614-2023 karta.png", "A 62614-2023")</f>
        <v/>
      </c>
      <c r="V54">
        <f>HYPERLINK("https://klasma.github.io/Logging_0561/klagomål/A 62614-2023 FSC-klagomål.docx", "A 62614-2023")</f>
        <v/>
      </c>
      <c r="W54">
        <f>HYPERLINK("https://klasma.github.io/Logging_0561/klagomålsmail/A 62614-2023 FSC-klagomål mail.docx", "A 62614-2023")</f>
        <v/>
      </c>
      <c r="X54">
        <f>HYPERLINK("https://klasma.github.io/Logging_0561/tillsyn/A 62614-2023 tillsynsbegäran.docx", "A 62614-2023")</f>
        <v/>
      </c>
      <c r="Y54">
        <f>HYPERLINK("https://klasma.github.io/Logging_0561/tillsynsmail/A 62614-2023 tillsynsbegäran mail.docx", "A 62614-2023")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45362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614-2024</t>
        </is>
      </c>
      <c r="B56" s="1" t="n">
        <v>45299</v>
      </c>
      <c r="C56" s="1" t="n">
        <v>45362</v>
      </c>
      <c r="D56" t="inlineStr">
        <is>
          <t>ÖSTERGÖTLANDS LÄN</t>
        </is>
      </c>
      <c r="E56" t="inlineStr">
        <is>
          <t>ÅTVIDABERG</t>
        </is>
      </c>
      <c r="G56" t="n">
        <v>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HYPERLINK("https://klasma.github.io/Logging_0561/artfynd/A 614-2024 artfynd.xlsx", "A 614-2024")</f>
        <v/>
      </c>
      <c r="T56">
        <f>HYPERLINK("https://klasma.github.io/Logging_0561/kartor/A 614-2024 karta.png", "A 614-2024")</f>
        <v/>
      </c>
      <c r="U56">
        <f>HYPERLINK("https://klasma.github.io/Logging_0561/knärot/A 614-2024 karta knärot.png", "A 614-2024")</f>
        <v/>
      </c>
      <c r="V56">
        <f>HYPERLINK("https://klasma.github.io/Logging_0561/klagomål/A 614-2024 FSC-klagomål.docx", "A 614-2024")</f>
        <v/>
      </c>
      <c r="W56">
        <f>HYPERLINK("https://klasma.github.io/Logging_0561/klagomålsmail/A 614-2024 FSC-klagomål mail.docx", "A 614-2024")</f>
        <v/>
      </c>
      <c r="X56">
        <f>HYPERLINK("https://klasma.github.io/Logging_0561/tillsyn/A 614-2024 tillsynsbegäran.docx", "A 614-2024")</f>
        <v/>
      </c>
      <c r="Y56">
        <f>HYPERLINK("https://klasma.github.io/Logging_0561/tillsynsmail/A 614-2024 tillsynsbegäran mail.docx", "A 614-2024")</f>
        <v/>
      </c>
      <c r="Z56">
        <f>HYPERLINK("https://klasma.github.io/Logging_0561/fåglar/A 614-2024 prioriterade fågelarter.docx", "A 614-2024")</f>
        <v/>
      </c>
    </row>
    <row r="57" ht="15" customHeight="1">
      <c r="A57" t="inlineStr">
        <is>
          <t>A 4006-2024</t>
        </is>
      </c>
      <c r="B57" s="1" t="n">
        <v>45323</v>
      </c>
      <c r="C57" s="1" t="n">
        <v>45362</v>
      </c>
      <c r="D57" t="inlineStr">
        <is>
          <t>ÖSTERGÖTLANDS LÄN</t>
        </is>
      </c>
      <c r="E57" t="inlineStr">
        <is>
          <t>ÅTVIDABERG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Gulfotsskölding</t>
        </is>
      </c>
      <c r="S57">
        <f>HYPERLINK("https://klasma.github.io/Logging_0561/artfynd/A 4006-2024 artfynd.xlsx", "A 4006-2024")</f>
        <v/>
      </c>
      <c r="T57">
        <f>HYPERLINK("https://klasma.github.io/Logging_0561/kartor/A 4006-2024 karta.png", "A 4006-2024")</f>
        <v/>
      </c>
      <c r="V57">
        <f>HYPERLINK("https://klasma.github.io/Logging_0561/klagomål/A 4006-2024 FSC-klagomål.docx", "A 4006-2024")</f>
        <v/>
      </c>
      <c r="W57">
        <f>HYPERLINK("https://klasma.github.io/Logging_0561/klagomålsmail/A 4006-2024 FSC-klagomål mail.docx", "A 4006-2024")</f>
        <v/>
      </c>
      <c r="X57">
        <f>HYPERLINK("https://klasma.github.io/Logging_0561/tillsyn/A 4006-2024 tillsynsbegäran.docx", "A 4006-2024")</f>
        <v/>
      </c>
      <c r="Y57">
        <f>HYPERLINK("https://klasma.github.io/Logging_0561/tillsynsmail/A 4006-2024 tillsynsbegäran mail.docx", "A 4006-2024")</f>
        <v/>
      </c>
    </row>
    <row r="58" ht="15" customHeight="1">
      <c r="A58" t="inlineStr">
        <is>
          <t>A 5747-2024</t>
        </is>
      </c>
      <c r="B58" s="1" t="n">
        <v>45335</v>
      </c>
      <c r="C58" s="1" t="n">
        <v>45362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Kyrkan</t>
        </is>
      </c>
      <c r="G58" t="n">
        <v>12.2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HYPERLINK("https://klasma.github.io/Logging_0561/artfynd/A 5747-2024 artfynd.xlsx", "A 5747-2024")</f>
        <v/>
      </c>
      <c r="T58">
        <f>HYPERLINK("https://klasma.github.io/Logging_0561/kartor/A 5747-2024 karta.png", "A 5747-2024")</f>
        <v/>
      </c>
      <c r="V58">
        <f>HYPERLINK("https://klasma.github.io/Logging_0561/klagomål/A 5747-2024 FSC-klagomål.docx", "A 5747-2024")</f>
        <v/>
      </c>
      <c r="W58">
        <f>HYPERLINK("https://klasma.github.io/Logging_0561/klagomålsmail/A 5747-2024 FSC-klagomål mail.docx", "A 5747-2024")</f>
        <v/>
      </c>
      <c r="X58">
        <f>HYPERLINK("https://klasma.github.io/Logging_0561/tillsyn/A 5747-2024 tillsynsbegäran.docx", "A 5747-2024")</f>
        <v/>
      </c>
      <c r="Y58">
        <f>HYPERLINK("https://klasma.github.io/Logging_0561/tillsynsmail/A 5747-2024 tillsynsbegäran mail.docx", "A 5747-2024")</f>
        <v/>
      </c>
      <c r="Z58">
        <f>HYPERLINK("https://klasma.github.io/Logging_0561/fåglar/A 5747-2024 prioriterade fågelarter.docx", "A 5747-2024")</f>
        <v/>
      </c>
    </row>
    <row r="59" ht="15" customHeight="1">
      <c r="A59" t="inlineStr">
        <is>
          <t>A 7085-2024</t>
        </is>
      </c>
      <c r="B59" s="1" t="n">
        <v>45343</v>
      </c>
      <c r="C59" s="1" t="n">
        <v>45362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Kyrkan</t>
        </is>
      </c>
      <c r="G59" t="n">
        <v>9.5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7085-2024 artfynd.xlsx", "A 7085-2024")</f>
        <v/>
      </c>
      <c r="T59">
        <f>HYPERLINK("https://klasma.github.io/Logging_0561/kartor/A 7085-2024 karta.png", "A 7085-2024")</f>
        <v/>
      </c>
      <c r="V59">
        <f>HYPERLINK("https://klasma.github.io/Logging_0561/klagomål/A 7085-2024 FSC-klagomål.docx", "A 7085-2024")</f>
        <v/>
      </c>
      <c r="W59">
        <f>HYPERLINK("https://klasma.github.io/Logging_0561/klagomålsmail/A 7085-2024 FSC-klagomål mail.docx", "A 7085-2024")</f>
        <v/>
      </c>
      <c r="X59">
        <f>HYPERLINK("https://klasma.github.io/Logging_0561/tillsyn/A 7085-2024 tillsynsbegäran.docx", "A 7085-2024")</f>
        <v/>
      </c>
      <c r="Y59">
        <f>HYPERLINK("https://klasma.github.io/Logging_0561/tillsynsmail/A 7085-2024 tillsynsbegäran mail.docx", "A 7085-2024")</f>
        <v/>
      </c>
    </row>
    <row r="60" ht="15" customHeight="1">
      <c r="A60" t="inlineStr">
        <is>
          <t>A 35310-2018</t>
        </is>
      </c>
      <c r="B60" s="1" t="n">
        <v>43325</v>
      </c>
      <c r="C60" s="1" t="n">
        <v>45362</v>
      </c>
      <c r="D60" t="inlineStr">
        <is>
          <t>ÖSTERGÖTLANDS LÄN</t>
        </is>
      </c>
      <c r="E60" t="inlineStr">
        <is>
          <t>ÅTVIDABERG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40502-2018</t>
        </is>
      </c>
      <c r="B61" s="1" t="n">
        <v>43342</v>
      </c>
      <c r="C61" s="1" t="n">
        <v>45362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Övriga Aktiebolag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40003-2018</t>
        </is>
      </c>
      <c r="B62" s="1" t="n">
        <v>43343</v>
      </c>
      <c r="C62" s="1" t="n">
        <v>45362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40006-2018</t>
        </is>
      </c>
      <c r="B63" s="1" t="n">
        <v>43343</v>
      </c>
      <c r="C63" s="1" t="n">
        <v>45362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39997-2018</t>
        </is>
      </c>
      <c r="B64" s="1" t="n">
        <v>43343</v>
      </c>
      <c r="C64" s="1" t="n">
        <v>45362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42261-2018</t>
        </is>
      </c>
      <c r="B65" s="1" t="n">
        <v>43353</v>
      </c>
      <c r="C65" s="1" t="n">
        <v>45362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42277-2018</t>
        </is>
      </c>
      <c r="B66" s="1" t="n">
        <v>43353</v>
      </c>
      <c r="C66" s="1" t="n">
        <v>45362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42264-2018</t>
        </is>
      </c>
      <c r="B67" s="1" t="n">
        <v>43353</v>
      </c>
      <c r="C67" s="1" t="n">
        <v>45362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42265-2018</t>
        </is>
      </c>
      <c r="B68" s="1" t="n">
        <v>43353</v>
      </c>
      <c r="C68" s="1" t="n">
        <v>45362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48266-2018</t>
        </is>
      </c>
      <c r="B69" s="1" t="n">
        <v>43371</v>
      </c>
      <c r="C69" s="1" t="n">
        <v>45362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48259-2018</t>
        </is>
      </c>
      <c r="B70" s="1" t="n">
        <v>43371</v>
      </c>
      <c r="C70" s="1" t="n">
        <v>45362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55647-2018</t>
        </is>
      </c>
      <c r="B71" s="1" t="n">
        <v>43398</v>
      </c>
      <c r="C71" s="1" t="n">
        <v>45362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55654-2018</t>
        </is>
      </c>
      <c r="B72" s="1" t="n">
        <v>43398</v>
      </c>
      <c r="C72" s="1" t="n">
        <v>45362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56866-2018</t>
        </is>
      </c>
      <c r="B73" s="1" t="n">
        <v>43403</v>
      </c>
      <c r="C73" s="1" t="n">
        <v>45362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58846-2018</t>
        </is>
      </c>
      <c r="B74" s="1" t="n">
        <v>43410</v>
      </c>
      <c r="C74" s="1" t="n">
        <v>45362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59808-2018</t>
        </is>
      </c>
      <c r="B75" s="1" t="n">
        <v>43411</v>
      </c>
      <c r="C75" s="1" t="n">
        <v>45362</v>
      </c>
      <c r="D75" t="inlineStr">
        <is>
          <t>ÖSTERGÖTLANDS LÄN</t>
        </is>
      </c>
      <c r="E75" t="inlineStr">
        <is>
          <t>ÅTVIDABERG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69306-2018</t>
        </is>
      </c>
      <c r="B76" s="1" t="n">
        <v>43441</v>
      </c>
      <c r="C76" s="1" t="n">
        <v>45362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71706-2018</t>
        </is>
      </c>
      <c r="B77" s="1" t="n">
        <v>43454</v>
      </c>
      <c r="C77" s="1" t="n">
        <v>45362</v>
      </c>
      <c r="D77" t="inlineStr">
        <is>
          <t>ÖSTERGÖTLANDS LÄN</t>
        </is>
      </c>
      <c r="E77" t="inlineStr">
        <is>
          <t>ÅTVIDABERG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262-2019</t>
        </is>
      </c>
      <c r="B78" s="1" t="n">
        <v>43468</v>
      </c>
      <c r="C78" s="1" t="n">
        <v>45362</v>
      </c>
      <c r="D78" t="inlineStr">
        <is>
          <t>ÖSTERGÖTLANDS LÄN</t>
        </is>
      </c>
      <c r="E78" t="inlineStr">
        <is>
          <t>ÅTVIDABERG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1049-2019</t>
        </is>
      </c>
      <c r="B79" s="1" t="n">
        <v>43472</v>
      </c>
      <c r="C79" s="1" t="n">
        <v>45362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1008-2019</t>
        </is>
      </c>
      <c r="B80" s="1" t="n">
        <v>43472</v>
      </c>
      <c r="C80" s="1" t="n">
        <v>45362</v>
      </c>
      <c r="D80" t="inlineStr">
        <is>
          <t>ÖSTERGÖTLANDS LÄN</t>
        </is>
      </c>
      <c r="E80" t="inlineStr">
        <is>
          <t>ÅTVIDABERG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765-2019</t>
        </is>
      </c>
      <c r="B81" s="1" t="n">
        <v>43472</v>
      </c>
      <c r="C81" s="1" t="n">
        <v>45362</v>
      </c>
      <c r="D81" t="inlineStr">
        <is>
          <t>ÖSTERGÖTLANDS LÄN</t>
        </is>
      </c>
      <c r="E81" t="inlineStr">
        <is>
          <t>ÅTVIDABERG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1614-2019</t>
        </is>
      </c>
      <c r="B82" s="1" t="n">
        <v>43474</v>
      </c>
      <c r="C82" s="1" t="n">
        <v>45362</v>
      </c>
      <c r="D82" t="inlineStr">
        <is>
          <t>ÖSTERGÖTLANDS LÄN</t>
        </is>
      </c>
      <c r="E82" t="inlineStr">
        <is>
          <t>ÅTVIDABERG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2277-2019</t>
        </is>
      </c>
      <c r="B83" s="1" t="n">
        <v>43475</v>
      </c>
      <c r="C83" s="1" t="n">
        <v>45362</v>
      </c>
      <c r="D83" t="inlineStr">
        <is>
          <t>ÖSTERGÖTLANDS LÄN</t>
        </is>
      </c>
      <c r="E83" t="inlineStr">
        <is>
          <t>ÅTVIDABERG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2848-2019</t>
        </is>
      </c>
      <c r="B84" s="1" t="n">
        <v>43479</v>
      </c>
      <c r="C84" s="1" t="n">
        <v>45362</v>
      </c>
      <c r="D84" t="inlineStr">
        <is>
          <t>ÖSTERGÖTLANDS LÄN</t>
        </is>
      </c>
      <c r="E84" t="inlineStr">
        <is>
          <t>ÅTVIDABERG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4606-2019</t>
        </is>
      </c>
      <c r="B85" s="1" t="n">
        <v>43486</v>
      </c>
      <c r="C85" s="1" t="n">
        <v>45362</v>
      </c>
      <c r="D85" t="inlineStr">
        <is>
          <t>ÖSTERGÖTLANDS LÄN</t>
        </is>
      </c>
      <c r="E85" t="inlineStr">
        <is>
          <t>ÅTVIDABERG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4592-2019</t>
        </is>
      </c>
      <c r="B86" s="1" t="n">
        <v>43486</v>
      </c>
      <c r="C86" s="1" t="n">
        <v>45362</v>
      </c>
      <c r="D86" t="inlineStr">
        <is>
          <t>ÖSTERGÖTLANDS LÄN</t>
        </is>
      </c>
      <c r="E86" t="inlineStr">
        <is>
          <t>ÅTVIDABERG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5352-2019</t>
        </is>
      </c>
      <c r="B87" s="1" t="n">
        <v>43488</v>
      </c>
      <c r="C87" s="1" t="n">
        <v>45362</v>
      </c>
      <c r="D87" t="inlineStr">
        <is>
          <t>ÖSTERGÖTLANDS LÄN</t>
        </is>
      </c>
      <c r="E87" t="inlineStr">
        <is>
          <t>ÅTVIDABERG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5879-2019</t>
        </is>
      </c>
      <c r="B88" s="1" t="n">
        <v>43490</v>
      </c>
      <c r="C88" s="1" t="n">
        <v>45362</v>
      </c>
      <c r="D88" t="inlineStr">
        <is>
          <t>ÖSTERGÖTLANDS LÄN</t>
        </is>
      </c>
      <c r="E88" t="inlineStr">
        <is>
          <t>ÅTVIDABERG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6714-2019</t>
        </is>
      </c>
      <c r="B89" s="1" t="n">
        <v>43494</v>
      </c>
      <c r="C89" s="1" t="n">
        <v>45362</v>
      </c>
      <c r="D89" t="inlineStr">
        <is>
          <t>ÖSTERGÖTLANDS LÄN</t>
        </is>
      </c>
      <c r="E89" t="inlineStr">
        <is>
          <t>ÅTVIDABERG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9206-2019</t>
        </is>
      </c>
      <c r="B90" s="1" t="n">
        <v>43506</v>
      </c>
      <c r="C90" s="1" t="n">
        <v>45362</v>
      </c>
      <c r="D90" t="inlineStr">
        <is>
          <t>ÖSTERGÖTLANDS LÄN</t>
        </is>
      </c>
      <c r="E90" t="inlineStr">
        <is>
          <t>ÅTVIDABERG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9643-2019</t>
        </is>
      </c>
      <c r="B91" s="1" t="n">
        <v>43508</v>
      </c>
      <c r="C91" s="1" t="n">
        <v>45362</v>
      </c>
      <c r="D91" t="inlineStr">
        <is>
          <t>ÖSTERGÖTLANDS LÄN</t>
        </is>
      </c>
      <c r="E91" t="inlineStr">
        <is>
          <t>ÅTVIDABERG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10085-2019</t>
        </is>
      </c>
      <c r="B92" s="1" t="n">
        <v>43510</v>
      </c>
      <c r="C92" s="1" t="n">
        <v>45362</v>
      </c>
      <c r="D92" t="inlineStr">
        <is>
          <t>ÖSTERGÖTLANDS LÄN</t>
        </is>
      </c>
      <c r="E92" t="inlineStr">
        <is>
          <t>ÅTVIDABERG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10079-2019</t>
        </is>
      </c>
      <c r="B93" s="1" t="n">
        <v>43510</v>
      </c>
      <c r="C93" s="1" t="n">
        <v>45362</v>
      </c>
      <c r="D93" t="inlineStr">
        <is>
          <t>ÖSTERGÖTLANDS LÄN</t>
        </is>
      </c>
      <c r="E93" t="inlineStr">
        <is>
          <t>ÅTVIDABERG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10511-2019</t>
        </is>
      </c>
      <c r="B94" s="1" t="n">
        <v>43513</v>
      </c>
      <c r="C94" s="1" t="n">
        <v>45362</v>
      </c>
      <c r="D94" t="inlineStr">
        <is>
          <t>ÖSTERGÖTLANDS LÄN</t>
        </is>
      </c>
      <c r="E94" t="inlineStr">
        <is>
          <t>ÅTVIDABERG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10570-2019</t>
        </is>
      </c>
      <c r="B95" s="1" t="n">
        <v>43514</v>
      </c>
      <c r="C95" s="1" t="n">
        <v>45362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Kyrkan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13171-2019</t>
        </is>
      </c>
      <c r="B96" s="1" t="n">
        <v>43528</v>
      </c>
      <c r="C96" s="1" t="n">
        <v>45362</v>
      </c>
      <c r="D96" t="inlineStr">
        <is>
          <t>ÖSTERGÖTLANDS LÄN</t>
        </is>
      </c>
      <c r="E96" t="inlineStr">
        <is>
          <t>ÅTVIDABERG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16018-2019</t>
        </is>
      </c>
      <c r="B97" s="1" t="n">
        <v>43544</v>
      </c>
      <c r="C97" s="1" t="n">
        <v>45362</v>
      </c>
      <c r="D97" t="inlineStr">
        <is>
          <t>ÖSTERGÖTLANDS LÄN</t>
        </is>
      </c>
      <c r="E97" t="inlineStr">
        <is>
          <t>ÅTVIDABERG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15922-2019</t>
        </is>
      </c>
      <c r="B98" s="1" t="n">
        <v>43544</v>
      </c>
      <c r="C98" s="1" t="n">
        <v>45362</v>
      </c>
      <c r="D98" t="inlineStr">
        <is>
          <t>ÖSTERGÖTLANDS LÄN</t>
        </is>
      </c>
      <c r="E98" t="inlineStr">
        <is>
          <t>ÅTVIDABERG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16263-2019</t>
        </is>
      </c>
      <c r="B99" s="1" t="n">
        <v>43545</v>
      </c>
      <c r="C99" s="1" t="n">
        <v>45362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16593-2019</t>
        </is>
      </c>
      <c r="B100" s="1" t="n">
        <v>43549</v>
      </c>
      <c r="C100" s="1" t="n">
        <v>45362</v>
      </c>
      <c r="D100" t="inlineStr">
        <is>
          <t>ÖSTERGÖTLANDS LÄN</t>
        </is>
      </c>
      <c r="E100" t="inlineStr">
        <is>
          <t>ÅTVIDABERG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18016-2019</t>
        </is>
      </c>
      <c r="B101" s="1" t="n">
        <v>43557</v>
      </c>
      <c r="C101" s="1" t="n">
        <v>45362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20700-2019</t>
        </is>
      </c>
      <c r="B102" s="1" t="n">
        <v>43573</v>
      </c>
      <c r="C102" s="1" t="n">
        <v>45362</v>
      </c>
      <c r="D102" t="inlineStr">
        <is>
          <t>ÖSTERGÖTLANDS LÄN</t>
        </is>
      </c>
      <c r="E102" t="inlineStr">
        <is>
          <t>ÅTVIDABERG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20713-2019</t>
        </is>
      </c>
      <c r="B103" s="1" t="n">
        <v>43573</v>
      </c>
      <c r="C103" s="1" t="n">
        <v>45362</v>
      </c>
      <c r="D103" t="inlineStr">
        <is>
          <t>ÖSTERGÖTLANDS LÄN</t>
        </is>
      </c>
      <c r="E103" t="inlineStr">
        <is>
          <t>ÅTVIDABERG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20703-2019</t>
        </is>
      </c>
      <c r="B104" s="1" t="n">
        <v>43573</v>
      </c>
      <c r="C104" s="1" t="n">
        <v>45362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20711-2019</t>
        </is>
      </c>
      <c r="B105" s="1" t="n">
        <v>43573</v>
      </c>
      <c r="C105" s="1" t="n">
        <v>45362</v>
      </c>
      <c r="D105" t="inlineStr">
        <is>
          <t>ÖSTERGÖTLANDS LÄN</t>
        </is>
      </c>
      <c r="E105" t="inlineStr">
        <is>
          <t>ÅTVIDABERG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22862-2019</t>
        </is>
      </c>
      <c r="B106" s="1" t="n">
        <v>43591</v>
      </c>
      <c r="C106" s="1" t="n">
        <v>45362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23473-2019</t>
        </is>
      </c>
      <c r="B107" s="1" t="n">
        <v>43593</v>
      </c>
      <c r="C107" s="1" t="n">
        <v>45362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23468-2019</t>
        </is>
      </c>
      <c r="B108" s="1" t="n">
        <v>43593</v>
      </c>
      <c r="C108" s="1" t="n">
        <v>45362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29019-2019</t>
        </is>
      </c>
      <c r="B109" s="1" t="n">
        <v>43620</v>
      </c>
      <c r="C109" s="1" t="n">
        <v>45362</v>
      </c>
      <c r="D109" t="inlineStr">
        <is>
          <t>ÖSTERGÖTLANDS LÄN</t>
        </is>
      </c>
      <c r="E109" t="inlineStr">
        <is>
          <t>ÅTVIDABERG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28574-2019</t>
        </is>
      </c>
      <c r="B110" s="1" t="n">
        <v>43626</v>
      </c>
      <c r="C110" s="1" t="n">
        <v>45362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28597-2019</t>
        </is>
      </c>
      <c r="B111" s="1" t="n">
        <v>43626</v>
      </c>
      <c r="C111" s="1" t="n">
        <v>45362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30037-2019</t>
        </is>
      </c>
      <c r="B112" s="1" t="n">
        <v>43633</v>
      </c>
      <c r="C112" s="1" t="n">
        <v>45362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36170-2019</t>
        </is>
      </c>
      <c r="B113" s="1" t="n">
        <v>43668</v>
      </c>
      <c r="C113" s="1" t="n">
        <v>45362</v>
      </c>
      <c r="D113" t="inlineStr">
        <is>
          <t>ÖSTERGÖTLANDS LÄN</t>
        </is>
      </c>
      <c r="E113" t="inlineStr">
        <is>
          <t>ÅTVIDABERG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36775-2019</t>
        </is>
      </c>
      <c r="B114" s="1" t="n">
        <v>43672</v>
      </c>
      <c r="C114" s="1" t="n">
        <v>45362</v>
      </c>
      <c r="D114" t="inlineStr">
        <is>
          <t>ÖSTERGÖTLANDS LÄN</t>
        </is>
      </c>
      <c r="E114" t="inlineStr">
        <is>
          <t>ÅTVIDABERG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37835-2019</t>
        </is>
      </c>
      <c r="B115" s="1" t="n">
        <v>43682</v>
      </c>
      <c r="C115" s="1" t="n">
        <v>45362</v>
      </c>
      <c r="D115" t="inlineStr">
        <is>
          <t>ÖSTERGÖTLANDS LÄN</t>
        </is>
      </c>
      <c r="E115" t="inlineStr">
        <is>
          <t>ÅTVIDABERG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37855-2019</t>
        </is>
      </c>
      <c r="B116" s="1" t="n">
        <v>43682</v>
      </c>
      <c r="C116" s="1" t="n">
        <v>45362</v>
      </c>
      <c r="D116" t="inlineStr">
        <is>
          <t>ÖSTERGÖTLANDS LÄN</t>
        </is>
      </c>
      <c r="E116" t="inlineStr">
        <is>
          <t>ÅTVIDABERG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38026-2019</t>
        </is>
      </c>
      <c r="B117" s="1" t="n">
        <v>43683</v>
      </c>
      <c r="C117" s="1" t="n">
        <v>45362</v>
      </c>
      <c r="D117" t="inlineStr">
        <is>
          <t>ÖSTERGÖTLANDS LÄN</t>
        </is>
      </c>
      <c r="E117" t="inlineStr">
        <is>
          <t>ÅTVIDABERG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38493-2019</t>
        </is>
      </c>
      <c r="B118" s="1" t="n">
        <v>43685</v>
      </c>
      <c r="C118" s="1" t="n">
        <v>45362</v>
      </c>
      <c r="D118" t="inlineStr">
        <is>
          <t>ÖSTERGÖTLANDS LÄN</t>
        </is>
      </c>
      <c r="E118" t="inlineStr">
        <is>
          <t>ÅTVIDABERG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38492-2019</t>
        </is>
      </c>
      <c r="B119" s="1" t="n">
        <v>43685</v>
      </c>
      <c r="C119" s="1" t="n">
        <v>45362</v>
      </c>
      <c r="D119" t="inlineStr">
        <is>
          <t>ÖSTERGÖTLANDS LÄN</t>
        </is>
      </c>
      <c r="E119" t="inlineStr">
        <is>
          <t>ÅTVIDABERG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38519-2019</t>
        </is>
      </c>
      <c r="B120" s="1" t="n">
        <v>43685</v>
      </c>
      <c r="C120" s="1" t="n">
        <v>45362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39896-2019</t>
        </is>
      </c>
      <c r="B121" s="1" t="n">
        <v>43690</v>
      </c>
      <c r="C121" s="1" t="n">
        <v>45362</v>
      </c>
      <c r="D121" t="inlineStr">
        <is>
          <t>ÖSTERGÖTLANDS LÄN</t>
        </is>
      </c>
      <c r="E121" t="inlineStr">
        <is>
          <t>ÅTVIDABERG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41801-2019</t>
        </is>
      </c>
      <c r="B122" s="1" t="n">
        <v>43700</v>
      </c>
      <c r="C122" s="1" t="n">
        <v>45362</v>
      </c>
      <c r="D122" t="inlineStr">
        <is>
          <t>ÖSTERGÖTLANDS LÄN</t>
        </is>
      </c>
      <c r="E122" t="inlineStr">
        <is>
          <t>ÅTVIDABERG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42493-2019</t>
        </is>
      </c>
      <c r="B123" s="1" t="n">
        <v>43704</v>
      </c>
      <c r="C123" s="1" t="n">
        <v>45362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44522-2019</t>
        </is>
      </c>
      <c r="B124" s="1" t="n">
        <v>43711</v>
      </c>
      <c r="C124" s="1" t="n">
        <v>45362</v>
      </c>
      <c r="D124" t="inlineStr">
        <is>
          <t>ÖSTERGÖTLANDS LÄN</t>
        </is>
      </c>
      <c r="E124" t="inlineStr">
        <is>
          <t>ÅTVIDABERG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44498-2019</t>
        </is>
      </c>
      <c r="B125" s="1" t="n">
        <v>43711</v>
      </c>
      <c r="C125" s="1" t="n">
        <v>45362</v>
      </c>
      <c r="D125" t="inlineStr">
        <is>
          <t>ÖSTERGÖTLANDS LÄN</t>
        </is>
      </c>
      <c r="E125" t="inlineStr">
        <is>
          <t>ÅTVIDABERG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45088-2019</t>
        </is>
      </c>
      <c r="B126" s="1" t="n">
        <v>43713</v>
      </c>
      <c r="C126" s="1" t="n">
        <v>45362</v>
      </c>
      <c r="D126" t="inlineStr">
        <is>
          <t>ÖSTERGÖTLANDS LÄN</t>
        </is>
      </c>
      <c r="E126" t="inlineStr">
        <is>
          <t>ÅTVIDABERG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46282-2019</t>
        </is>
      </c>
      <c r="B127" s="1" t="n">
        <v>43718</v>
      </c>
      <c r="C127" s="1" t="n">
        <v>45362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46009-2019</t>
        </is>
      </c>
      <c r="B128" s="1" t="n">
        <v>43718</v>
      </c>
      <c r="C128" s="1" t="n">
        <v>45362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46093-2019</t>
        </is>
      </c>
      <c r="B129" s="1" t="n">
        <v>43718</v>
      </c>
      <c r="C129" s="1" t="n">
        <v>45362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47578-2019</t>
        </is>
      </c>
      <c r="B130" s="1" t="n">
        <v>43724</v>
      </c>
      <c r="C130" s="1" t="n">
        <v>45362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47663-2019</t>
        </is>
      </c>
      <c r="B131" s="1" t="n">
        <v>43724</v>
      </c>
      <c r="C131" s="1" t="n">
        <v>45362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48110-2019</t>
        </is>
      </c>
      <c r="B132" s="1" t="n">
        <v>43725</v>
      </c>
      <c r="C132" s="1" t="n">
        <v>45362</v>
      </c>
      <c r="D132" t="inlineStr">
        <is>
          <t>ÖSTERGÖTLANDS LÄN</t>
        </is>
      </c>
      <c r="E132" t="inlineStr">
        <is>
          <t>ÅTVIDABERG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48175-2019</t>
        </is>
      </c>
      <c r="B133" s="1" t="n">
        <v>43726</v>
      </c>
      <c r="C133" s="1" t="n">
        <v>45362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49086-2019</t>
        </is>
      </c>
      <c r="B134" s="1" t="n">
        <v>43731</v>
      </c>
      <c r="C134" s="1" t="n">
        <v>45362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49879-2019</t>
        </is>
      </c>
      <c r="B135" s="1" t="n">
        <v>43733</v>
      </c>
      <c r="C135" s="1" t="n">
        <v>45362</v>
      </c>
      <c r="D135" t="inlineStr">
        <is>
          <t>ÖSTERGÖTLANDS LÄN</t>
        </is>
      </c>
      <c r="E135" t="inlineStr">
        <is>
          <t>ÅTVIDABERG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56102-2019</t>
        </is>
      </c>
      <c r="B136" s="1" t="n">
        <v>43760</v>
      </c>
      <c r="C136" s="1" t="n">
        <v>45362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57660-2019</t>
        </is>
      </c>
      <c r="B137" s="1" t="n">
        <v>43768</v>
      </c>
      <c r="C137" s="1" t="n">
        <v>45362</v>
      </c>
      <c r="D137" t="inlineStr">
        <is>
          <t>ÖSTERGÖTLANDS LÄN</t>
        </is>
      </c>
      <c r="E137" t="inlineStr">
        <is>
          <t>ÅTVIDABERG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58634-2019</t>
        </is>
      </c>
      <c r="B138" s="1" t="n">
        <v>43768</v>
      </c>
      <c r="C138" s="1" t="n">
        <v>45362</v>
      </c>
      <c r="D138" t="inlineStr">
        <is>
          <t>ÖSTERGÖTLANDS LÄN</t>
        </is>
      </c>
      <c r="E138" t="inlineStr">
        <is>
          <t>ÅTVIDABERG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60929-2019</t>
        </is>
      </c>
      <c r="B139" s="1" t="n">
        <v>43780</v>
      </c>
      <c r="C139" s="1" t="n">
        <v>45362</v>
      </c>
      <c r="D139" t="inlineStr">
        <is>
          <t>ÖSTERGÖTLANDS LÄN</t>
        </is>
      </c>
      <c r="E139" t="inlineStr">
        <is>
          <t>ÅTVIDABERG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60858-2019</t>
        </is>
      </c>
      <c r="B140" s="1" t="n">
        <v>43781</v>
      </c>
      <c r="C140" s="1" t="n">
        <v>45362</v>
      </c>
      <c r="D140" t="inlineStr">
        <is>
          <t>ÖSTERGÖTLANDS LÄN</t>
        </is>
      </c>
      <c r="E140" t="inlineStr">
        <is>
          <t>ÅTVIDABERG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61890-2019</t>
        </is>
      </c>
      <c r="B141" s="1" t="n">
        <v>43781</v>
      </c>
      <c r="C141" s="1" t="n">
        <v>45362</v>
      </c>
      <c r="D141" t="inlineStr">
        <is>
          <t>ÖSTERGÖTLANDS LÄN</t>
        </is>
      </c>
      <c r="E141" t="inlineStr">
        <is>
          <t>ÅTVIDABERG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66079-2019</t>
        </is>
      </c>
      <c r="B142" s="1" t="n">
        <v>43807</v>
      </c>
      <c r="C142" s="1" t="n">
        <v>45362</v>
      </c>
      <c r="D142" t="inlineStr">
        <is>
          <t>ÖSTERGÖTLANDS LÄN</t>
        </is>
      </c>
      <c r="E142" t="inlineStr">
        <is>
          <t>ÅTVIDABERG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67077-2019</t>
        </is>
      </c>
      <c r="B143" s="1" t="n">
        <v>43811</v>
      </c>
      <c r="C143" s="1" t="n">
        <v>45362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67792-2019</t>
        </is>
      </c>
      <c r="B144" s="1" t="n">
        <v>43815</v>
      </c>
      <c r="C144" s="1" t="n">
        <v>45362</v>
      </c>
      <c r="D144" t="inlineStr">
        <is>
          <t>ÖSTERGÖTLANDS LÄN</t>
        </is>
      </c>
      <c r="E144" t="inlineStr">
        <is>
          <t>ÅTVIDABERG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68031-2019</t>
        </is>
      </c>
      <c r="B145" s="1" t="n">
        <v>43816</v>
      </c>
      <c r="C145" s="1" t="n">
        <v>45362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68045-2019</t>
        </is>
      </c>
      <c r="B146" s="1" t="n">
        <v>43816</v>
      </c>
      <c r="C146" s="1" t="n">
        <v>45362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68241-2019</t>
        </is>
      </c>
      <c r="B147" s="1" t="n">
        <v>43817</v>
      </c>
      <c r="C147" s="1" t="n">
        <v>45362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68963-2019</t>
        </is>
      </c>
      <c r="B148" s="1" t="n">
        <v>43822</v>
      </c>
      <c r="C148" s="1" t="n">
        <v>45362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69155-2019</t>
        </is>
      </c>
      <c r="B149" s="1" t="n">
        <v>43829</v>
      </c>
      <c r="C149" s="1" t="n">
        <v>45362</v>
      </c>
      <c r="D149" t="inlineStr">
        <is>
          <t>ÖSTERGÖTLANDS LÄN</t>
        </is>
      </c>
      <c r="E149" t="inlineStr">
        <is>
          <t>ÅTVIDABERG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584-2020</t>
        </is>
      </c>
      <c r="B150" s="1" t="n">
        <v>43838</v>
      </c>
      <c r="C150" s="1" t="n">
        <v>45362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2406-2020</t>
        </is>
      </c>
      <c r="B151" s="1" t="n">
        <v>43847</v>
      </c>
      <c r="C151" s="1" t="n">
        <v>45362</v>
      </c>
      <c r="D151" t="inlineStr">
        <is>
          <t>ÖSTERGÖTLANDS LÄN</t>
        </is>
      </c>
      <c r="E151" t="inlineStr">
        <is>
          <t>ÅTVIDABERG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2826-2020</t>
        </is>
      </c>
      <c r="B152" s="1" t="n">
        <v>43850</v>
      </c>
      <c r="C152" s="1" t="n">
        <v>45362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2824-2020</t>
        </is>
      </c>
      <c r="B153" s="1" t="n">
        <v>43850</v>
      </c>
      <c r="C153" s="1" t="n">
        <v>45362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4107-2020</t>
        </is>
      </c>
      <c r="B154" s="1" t="n">
        <v>43857</v>
      </c>
      <c r="C154" s="1" t="n">
        <v>45362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4397-2020</t>
        </is>
      </c>
      <c r="B155" s="1" t="n">
        <v>43858</v>
      </c>
      <c r="C155" s="1" t="n">
        <v>45362</v>
      </c>
      <c r="D155" t="inlineStr">
        <is>
          <t>ÖSTERGÖTLANDS LÄN</t>
        </is>
      </c>
      <c r="E155" t="inlineStr">
        <is>
          <t>ÅTVIDABERG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4671-2020</t>
        </is>
      </c>
      <c r="B156" s="1" t="n">
        <v>43858</v>
      </c>
      <c r="C156" s="1" t="n">
        <v>45362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5386-2020</t>
        </is>
      </c>
      <c r="B157" s="1" t="n">
        <v>43860</v>
      </c>
      <c r="C157" s="1" t="n">
        <v>45362</v>
      </c>
      <c r="D157" t="inlineStr">
        <is>
          <t>ÖSTERGÖTLANDS LÄN</t>
        </is>
      </c>
      <c r="E157" t="inlineStr">
        <is>
          <t>ÅTVIDABERG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5939-2020</t>
        </is>
      </c>
      <c r="B158" s="1" t="n">
        <v>43864</v>
      </c>
      <c r="C158" s="1" t="n">
        <v>45362</v>
      </c>
      <c r="D158" t="inlineStr">
        <is>
          <t>ÖSTERGÖTLANDS LÄN</t>
        </is>
      </c>
      <c r="E158" t="inlineStr">
        <is>
          <t>ÅTVIDABERG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5942-2020</t>
        </is>
      </c>
      <c r="B159" s="1" t="n">
        <v>43864</v>
      </c>
      <c r="C159" s="1" t="n">
        <v>45362</v>
      </c>
      <c r="D159" t="inlineStr">
        <is>
          <t>ÖSTERGÖTLANDS LÄN</t>
        </is>
      </c>
      <c r="E159" t="inlineStr">
        <is>
          <t>ÅTVIDABERG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7254-2020</t>
        </is>
      </c>
      <c r="B160" s="1" t="n">
        <v>43871</v>
      </c>
      <c r="C160" s="1" t="n">
        <v>45362</v>
      </c>
      <c r="D160" t="inlineStr">
        <is>
          <t>ÖSTERGÖTLANDS LÄN</t>
        </is>
      </c>
      <c r="E160" t="inlineStr">
        <is>
          <t>ÅTVIDABERG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9401-2020</t>
        </is>
      </c>
      <c r="B161" s="1" t="n">
        <v>43880</v>
      </c>
      <c r="C161" s="1" t="n">
        <v>45362</v>
      </c>
      <c r="D161" t="inlineStr">
        <is>
          <t>ÖSTERGÖTLANDS LÄN</t>
        </is>
      </c>
      <c r="E161" t="inlineStr">
        <is>
          <t>ÅTVIDABERG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9273-2020</t>
        </is>
      </c>
      <c r="B162" s="1" t="n">
        <v>43880</v>
      </c>
      <c r="C162" s="1" t="n">
        <v>45362</v>
      </c>
      <c r="D162" t="inlineStr">
        <is>
          <t>ÖSTERGÖTLANDS LÄN</t>
        </is>
      </c>
      <c r="E162" t="inlineStr">
        <is>
          <t>ÅTVIDABERG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9928-2020</t>
        </is>
      </c>
      <c r="B163" s="1" t="n">
        <v>43882</v>
      </c>
      <c r="C163" s="1" t="n">
        <v>45362</v>
      </c>
      <c r="D163" t="inlineStr">
        <is>
          <t>ÖSTERGÖTLANDS LÄN</t>
        </is>
      </c>
      <c r="E163" t="inlineStr">
        <is>
          <t>ÅTVIDABERG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11482-2020</t>
        </is>
      </c>
      <c r="B164" s="1" t="n">
        <v>43893</v>
      </c>
      <c r="C164" s="1" t="n">
        <v>45362</v>
      </c>
      <c r="D164" t="inlineStr">
        <is>
          <t>ÖSTERGÖTLANDS LÄN</t>
        </is>
      </c>
      <c r="E164" t="inlineStr">
        <is>
          <t>ÅTVIDABERG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12090-2020</t>
        </is>
      </c>
      <c r="B165" s="1" t="n">
        <v>43895</v>
      </c>
      <c r="C165" s="1" t="n">
        <v>45362</v>
      </c>
      <c r="D165" t="inlineStr">
        <is>
          <t>ÖSTERGÖTLANDS LÄN</t>
        </is>
      </c>
      <c r="E165" t="inlineStr">
        <is>
          <t>ÅTVIDABERG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12319-2020</t>
        </is>
      </c>
      <c r="B166" s="1" t="n">
        <v>43895</v>
      </c>
      <c r="C166" s="1" t="n">
        <v>45362</v>
      </c>
      <c r="D166" t="inlineStr">
        <is>
          <t>ÖSTERGÖTLANDS LÄN</t>
        </is>
      </c>
      <c r="E166" t="inlineStr">
        <is>
          <t>ÅTVIDABERG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12317-2020</t>
        </is>
      </c>
      <c r="B167" s="1" t="n">
        <v>43895</v>
      </c>
      <c r="C167" s="1" t="n">
        <v>45362</v>
      </c>
      <c r="D167" t="inlineStr">
        <is>
          <t>ÖSTERGÖTLANDS LÄN</t>
        </is>
      </c>
      <c r="E167" t="inlineStr">
        <is>
          <t>ÅTVIDABERG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16593-2020</t>
        </is>
      </c>
      <c r="B168" s="1" t="n">
        <v>43909</v>
      </c>
      <c r="C168" s="1" t="n">
        <v>45362</v>
      </c>
      <c r="D168" t="inlineStr">
        <is>
          <t>ÖSTERGÖTLANDS LÄN</t>
        </is>
      </c>
      <c r="E168" t="inlineStr">
        <is>
          <t>ÅTVIDABERG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15715-2020</t>
        </is>
      </c>
      <c r="B169" s="1" t="n">
        <v>43915</v>
      </c>
      <c r="C169" s="1" t="n">
        <v>45362</v>
      </c>
      <c r="D169" t="inlineStr">
        <is>
          <t>ÖSTERGÖTLANDS LÄN</t>
        </is>
      </c>
      <c r="E169" t="inlineStr">
        <is>
          <t>ÅTVIDABERG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16020-2020</t>
        </is>
      </c>
      <c r="B170" s="1" t="n">
        <v>43916</v>
      </c>
      <c r="C170" s="1" t="n">
        <v>45362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19390-2020</t>
        </is>
      </c>
      <c r="B171" s="1" t="n">
        <v>43938</v>
      </c>
      <c r="C171" s="1" t="n">
        <v>45362</v>
      </c>
      <c r="D171" t="inlineStr">
        <is>
          <t>ÖSTERGÖTLANDS LÄN</t>
        </is>
      </c>
      <c r="E171" t="inlineStr">
        <is>
          <t>ÅTVIDABERG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19787-2020</t>
        </is>
      </c>
      <c r="B172" s="1" t="n">
        <v>43942</v>
      </c>
      <c r="C172" s="1" t="n">
        <v>45362</v>
      </c>
      <c r="D172" t="inlineStr">
        <is>
          <t>ÖSTERGÖTLANDS LÄN</t>
        </is>
      </c>
      <c r="E172" t="inlineStr">
        <is>
          <t>ÅTVIDABERG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20839-2020</t>
        </is>
      </c>
      <c r="B173" s="1" t="n">
        <v>43950</v>
      </c>
      <c r="C173" s="1" t="n">
        <v>45362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21705-2020</t>
        </is>
      </c>
      <c r="B174" s="1" t="n">
        <v>43957</v>
      </c>
      <c r="C174" s="1" t="n">
        <v>45362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23437-2020</t>
        </is>
      </c>
      <c r="B175" s="1" t="n">
        <v>43969</v>
      </c>
      <c r="C175" s="1" t="n">
        <v>45362</v>
      </c>
      <c r="D175" t="inlineStr">
        <is>
          <t>ÖSTERGÖTLANDS LÄN</t>
        </is>
      </c>
      <c r="E175" t="inlineStr">
        <is>
          <t>ÅTVIDABERG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25496-2020</t>
        </is>
      </c>
      <c r="B176" s="1" t="n">
        <v>43983</v>
      </c>
      <c r="C176" s="1" t="n">
        <v>45362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25643-2020</t>
        </is>
      </c>
      <c r="B177" s="1" t="n">
        <v>43983</v>
      </c>
      <c r="C177" s="1" t="n">
        <v>45362</v>
      </c>
      <c r="D177" t="inlineStr">
        <is>
          <t>ÖSTERGÖTLANDS LÄN</t>
        </is>
      </c>
      <c r="E177" t="inlineStr">
        <is>
          <t>ÅTVIDABERG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28320-2020</t>
        </is>
      </c>
      <c r="B178" s="1" t="n">
        <v>43998</v>
      </c>
      <c r="C178" s="1" t="n">
        <v>45362</v>
      </c>
      <c r="D178" t="inlineStr">
        <is>
          <t>ÖSTERGÖTLANDS LÄN</t>
        </is>
      </c>
      <c r="E178" t="inlineStr">
        <is>
          <t>ÅTVIDABERG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28689-2020</t>
        </is>
      </c>
      <c r="B179" s="1" t="n">
        <v>43999</v>
      </c>
      <c r="C179" s="1" t="n">
        <v>45362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29018-2020</t>
        </is>
      </c>
      <c r="B180" s="1" t="n">
        <v>44000</v>
      </c>
      <c r="C180" s="1" t="n">
        <v>45362</v>
      </c>
      <c r="D180" t="inlineStr">
        <is>
          <t>ÖSTERGÖTLANDS LÄN</t>
        </is>
      </c>
      <c r="E180" t="inlineStr">
        <is>
          <t>ÅTVIDABERG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29149-2020</t>
        </is>
      </c>
      <c r="B181" s="1" t="n">
        <v>44004</v>
      </c>
      <c r="C181" s="1" t="n">
        <v>45362</v>
      </c>
      <c r="D181" t="inlineStr">
        <is>
          <t>ÖSTERGÖTLANDS LÄN</t>
        </is>
      </c>
      <c r="E181" t="inlineStr">
        <is>
          <t>ÅTVIDABERG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31398-2020</t>
        </is>
      </c>
      <c r="B182" s="1" t="n">
        <v>44013</v>
      </c>
      <c r="C182" s="1" t="n">
        <v>45362</v>
      </c>
      <c r="D182" t="inlineStr">
        <is>
          <t>ÖSTERGÖTLANDS LÄN</t>
        </is>
      </c>
      <c r="E182" t="inlineStr">
        <is>
          <t>ÅTVIDABERG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34872-2020</t>
        </is>
      </c>
      <c r="B183" s="1" t="n">
        <v>44036</v>
      </c>
      <c r="C183" s="1" t="n">
        <v>45362</v>
      </c>
      <c r="D183" t="inlineStr">
        <is>
          <t>ÖSTERGÖTLANDS LÄN</t>
        </is>
      </c>
      <c r="E183" t="inlineStr">
        <is>
          <t>ÅTVIDABERG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36309-2020</t>
        </is>
      </c>
      <c r="B184" s="1" t="n">
        <v>44049</v>
      </c>
      <c r="C184" s="1" t="n">
        <v>45362</v>
      </c>
      <c r="D184" t="inlineStr">
        <is>
          <t>ÖSTERGÖTLANDS LÄN</t>
        </is>
      </c>
      <c r="E184" t="inlineStr">
        <is>
          <t>ÅTVIDABERG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36286-2020</t>
        </is>
      </c>
      <c r="B185" s="1" t="n">
        <v>44049</v>
      </c>
      <c r="C185" s="1" t="n">
        <v>45362</v>
      </c>
      <c r="D185" t="inlineStr">
        <is>
          <t>ÖSTERGÖTLANDS LÄN</t>
        </is>
      </c>
      <c r="E185" t="inlineStr">
        <is>
          <t>ÅTVIDABERG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36557-2020</t>
        </is>
      </c>
      <c r="B186" s="1" t="n">
        <v>44050</v>
      </c>
      <c r="C186" s="1" t="n">
        <v>45362</v>
      </c>
      <c r="D186" t="inlineStr">
        <is>
          <t>ÖSTERGÖTLANDS LÄN</t>
        </is>
      </c>
      <c r="E186" t="inlineStr">
        <is>
          <t>ÅTVIDABERG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38622-2020</t>
        </is>
      </c>
      <c r="B187" s="1" t="n">
        <v>44061</v>
      </c>
      <c r="C187" s="1" t="n">
        <v>45362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38897-2020</t>
        </is>
      </c>
      <c r="B188" s="1" t="n">
        <v>44062</v>
      </c>
      <c r="C188" s="1" t="n">
        <v>45362</v>
      </c>
      <c r="D188" t="inlineStr">
        <is>
          <t>ÖSTERGÖTLANDS LÄN</t>
        </is>
      </c>
      <c r="E188" t="inlineStr">
        <is>
          <t>ÅTVIDABERG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39510-2020</t>
        </is>
      </c>
      <c r="B189" s="1" t="n">
        <v>44064</v>
      </c>
      <c r="C189" s="1" t="n">
        <v>45362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40651-2020</t>
        </is>
      </c>
      <c r="B190" s="1" t="n">
        <v>44067</v>
      </c>
      <c r="C190" s="1" t="n">
        <v>45362</v>
      </c>
      <c r="D190" t="inlineStr">
        <is>
          <t>ÖSTERGÖTLANDS LÄN</t>
        </is>
      </c>
      <c r="E190" t="inlineStr">
        <is>
          <t>ÅTVIDABERG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41387-2020</t>
        </is>
      </c>
      <c r="B191" s="1" t="n">
        <v>44072</v>
      </c>
      <c r="C191" s="1" t="n">
        <v>45362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42156-2020</t>
        </is>
      </c>
      <c r="B192" s="1" t="n">
        <v>44075</v>
      </c>
      <c r="C192" s="1" t="n">
        <v>45362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42516-2020</t>
        </is>
      </c>
      <c r="B193" s="1" t="n">
        <v>44077</v>
      </c>
      <c r="C193" s="1" t="n">
        <v>45362</v>
      </c>
      <c r="D193" t="inlineStr">
        <is>
          <t>ÖSTERGÖTLANDS LÄN</t>
        </is>
      </c>
      <c r="E193" t="inlineStr">
        <is>
          <t>ÅTVIDABERG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42513-2020</t>
        </is>
      </c>
      <c r="B194" s="1" t="n">
        <v>44077</v>
      </c>
      <c r="C194" s="1" t="n">
        <v>45362</v>
      </c>
      <c r="D194" t="inlineStr">
        <is>
          <t>ÖSTERGÖTLANDS LÄN</t>
        </is>
      </c>
      <c r="E194" t="inlineStr">
        <is>
          <t>ÅTVIDABERG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43240-2020</t>
        </is>
      </c>
      <c r="B195" s="1" t="n">
        <v>44081</v>
      </c>
      <c r="C195" s="1" t="n">
        <v>45362</v>
      </c>
      <c r="D195" t="inlineStr">
        <is>
          <t>ÖSTERGÖTLANDS LÄN</t>
        </is>
      </c>
      <c r="E195" t="inlineStr">
        <is>
          <t>ÅTVIDABERG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43742-2020</t>
        </is>
      </c>
      <c r="B196" s="1" t="n">
        <v>44082</v>
      </c>
      <c r="C196" s="1" t="n">
        <v>45362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43731-2020</t>
        </is>
      </c>
      <c r="B197" s="1" t="n">
        <v>44082</v>
      </c>
      <c r="C197" s="1" t="n">
        <v>45362</v>
      </c>
      <c r="D197" t="inlineStr">
        <is>
          <t>ÖSTERGÖTLANDS LÄN</t>
        </is>
      </c>
      <c r="E197" t="inlineStr">
        <is>
          <t>ÅTVIDABERG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43740-2020</t>
        </is>
      </c>
      <c r="B198" s="1" t="n">
        <v>44082</v>
      </c>
      <c r="C198" s="1" t="n">
        <v>45362</v>
      </c>
      <c r="D198" t="inlineStr">
        <is>
          <t>ÖSTERGÖTLANDS LÄN</t>
        </is>
      </c>
      <c r="E198" t="inlineStr">
        <is>
          <t>ÅTVIDABERG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44177-2020</t>
        </is>
      </c>
      <c r="B199" s="1" t="n">
        <v>44083</v>
      </c>
      <c r="C199" s="1" t="n">
        <v>45362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44813-2020</t>
        </is>
      </c>
      <c r="B200" s="1" t="n">
        <v>44085</v>
      </c>
      <c r="C200" s="1" t="n">
        <v>45362</v>
      </c>
      <c r="D200" t="inlineStr">
        <is>
          <t>ÖSTERGÖTLANDS LÄN</t>
        </is>
      </c>
      <c r="E200" t="inlineStr">
        <is>
          <t>ÅTVIDABERG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46753-2020</t>
        </is>
      </c>
      <c r="B201" s="1" t="n">
        <v>44095</v>
      </c>
      <c r="C201" s="1" t="n">
        <v>45362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46720-2020</t>
        </is>
      </c>
      <c r="B202" s="1" t="n">
        <v>44095</v>
      </c>
      <c r="C202" s="1" t="n">
        <v>45362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48497-2020</t>
        </is>
      </c>
      <c r="B203" s="1" t="n">
        <v>44102</v>
      </c>
      <c r="C203" s="1" t="n">
        <v>45362</v>
      </c>
      <c r="D203" t="inlineStr">
        <is>
          <t>ÖSTERGÖTLANDS LÄN</t>
        </is>
      </c>
      <c r="E203" t="inlineStr">
        <is>
          <t>ÅTVIDABERG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48756-2020</t>
        </is>
      </c>
      <c r="B204" s="1" t="n">
        <v>44103</v>
      </c>
      <c r="C204" s="1" t="n">
        <v>45362</v>
      </c>
      <c r="D204" t="inlineStr">
        <is>
          <t>ÖSTERGÖTLANDS LÄN</t>
        </is>
      </c>
      <c r="E204" t="inlineStr">
        <is>
          <t>ÅTVIDABERG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48978-2020</t>
        </is>
      </c>
      <c r="B205" s="1" t="n">
        <v>44104</v>
      </c>
      <c r="C205" s="1" t="n">
        <v>45362</v>
      </c>
      <c r="D205" t="inlineStr">
        <is>
          <t>ÖSTERGÖTLANDS LÄN</t>
        </is>
      </c>
      <c r="E205" t="inlineStr">
        <is>
          <t>ÅTVIDABERG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50161-2020</t>
        </is>
      </c>
      <c r="B206" s="1" t="n">
        <v>44109</v>
      </c>
      <c r="C206" s="1" t="n">
        <v>45362</v>
      </c>
      <c r="D206" t="inlineStr">
        <is>
          <t>ÖSTERGÖTLANDS LÄN</t>
        </is>
      </c>
      <c r="E206" t="inlineStr">
        <is>
          <t>ÅTVIDABERG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51048-2020</t>
        </is>
      </c>
      <c r="B207" s="1" t="n">
        <v>44112</v>
      </c>
      <c r="C207" s="1" t="n">
        <v>45362</v>
      </c>
      <c r="D207" t="inlineStr">
        <is>
          <t>ÖSTERGÖTLANDS LÄN</t>
        </is>
      </c>
      <c r="E207" t="inlineStr">
        <is>
          <t>ÅTVIDABERG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51047-2020</t>
        </is>
      </c>
      <c r="B208" s="1" t="n">
        <v>44112</v>
      </c>
      <c r="C208" s="1" t="n">
        <v>45362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52363-2020</t>
        </is>
      </c>
      <c r="B209" s="1" t="n">
        <v>44112</v>
      </c>
      <c r="C209" s="1" t="n">
        <v>45362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51517-2020</t>
        </is>
      </c>
      <c r="B210" s="1" t="n">
        <v>44113</v>
      </c>
      <c r="C210" s="1" t="n">
        <v>45362</v>
      </c>
      <c r="D210" t="inlineStr">
        <is>
          <t>ÖSTERGÖTLANDS LÄN</t>
        </is>
      </c>
      <c r="E210" t="inlineStr">
        <is>
          <t>ÅTVIDABERG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51796-2020</t>
        </is>
      </c>
      <c r="B211" s="1" t="n">
        <v>44115</v>
      </c>
      <c r="C211" s="1" t="n">
        <v>45362</v>
      </c>
      <c r="D211" t="inlineStr">
        <is>
          <t>ÖSTERGÖTLANDS LÄN</t>
        </is>
      </c>
      <c r="E211" t="inlineStr">
        <is>
          <t>ÅTVIDABERG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52315-2020</t>
        </is>
      </c>
      <c r="B212" s="1" t="n">
        <v>44117</v>
      </c>
      <c r="C212" s="1" t="n">
        <v>45362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52721-2020</t>
        </is>
      </c>
      <c r="B213" s="1" t="n">
        <v>44118</v>
      </c>
      <c r="C213" s="1" t="n">
        <v>45362</v>
      </c>
      <c r="D213" t="inlineStr">
        <is>
          <t>ÖSTERGÖTLANDS LÄN</t>
        </is>
      </c>
      <c r="E213" t="inlineStr">
        <is>
          <t>ÅTVIDABERG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52724-2020</t>
        </is>
      </c>
      <c r="B214" s="1" t="n">
        <v>44118</v>
      </c>
      <c r="C214" s="1" t="n">
        <v>45362</v>
      </c>
      <c r="D214" t="inlineStr">
        <is>
          <t>ÖSTERGÖTLANDS LÄN</t>
        </is>
      </c>
      <c r="E214" t="inlineStr">
        <is>
          <t>ÅTVIDABERG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52723-2020</t>
        </is>
      </c>
      <c r="B215" s="1" t="n">
        <v>44118</v>
      </c>
      <c r="C215" s="1" t="n">
        <v>45362</v>
      </c>
      <c r="D215" t="inlineStr">
        <is>
          <t>ÖSTERGÖTLANDS LÄN</t>
        </is>
      </c>
      <c r="E215" t="inlineStr">
        <is>
          <t>ÅTVIDABERG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53230-2020</t>
        </is>
      </c>
      <c r="B216" s="1" t="n">
        <v>44123</v>
      </c>
      <c r="C216" s="1" t="n">
        <v>45362</v>
      </c>
      <c r="D216" t="inlineStr">
        <is>
          <t>ÖSTERGÖTLANDS LÄN</t>
        </is>
      </c>
      <c r="E216" t="inlineStr">
        <is>
          <t>ÅTVIDABERG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53248-2020</t>
        </is>
      </c>
      <c r="B217" s="1" t="n">
        <v>44123</v>
      </c>
      <c r="C217" s="1" t="n">
        <v>45362</v>
      </c>
      <c r="D217" t="inlineStr">
        <is>
          <t>ÖSTERGÖTLANDS LÄN</t>
        </is>
      </c>
      <c r="E217" t="inlineStr">
        <is>
          <t>ÅTVIDABERG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55456-2020</t>
        </is>
      </c>
      <c r="B218" s="1" t="n">
        <v>44131</v>
      </c>
      <c r="C218" s="1" t="n">
        <v>45362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32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56587-2020</t>
        </is>
      </c>
      <c r="B219" s="1" t="n">
        <v>44137</v>
      </c>
      <c r="C219" s="1" t="n">
        <v>45362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56727-2020</t>
        </is>
      </c>
      <c r="B220" s="1" t="n">
        <v>44137</v>
      </c>
      <c r="C220" s="1" t="n">
        <v>45362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57387-2020</t>
        </is>
      </c>
      <c r="B221" s="1" t="n">
        <v>44140</v>
      </c>
      <c r="C221" s="1" t="n">
        <v>45362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Övriga Aktiebolag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58105-2020</t>
        </is>
      </c>
      <c r="B222" s="1" t="n">
        <v>44144</v>
      </c>
      <c r="C222" s="1" t="n">
        <v>45362</v>
      </c>
      <c r="D222" t="inlineStr">
        <is>
          <t>ÖSTERGÖTLANDS LÄN</t>
        </is>
      </c>
      <c r="E222" t="inlineStr">
        <is>
          <t>ÅTVIDABERG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59325-2020</t>
        </is>
      </c>
      <c r="B223" s="1" t="n">
        <v>44147</v>
      </c>
      <c r="C223" s="1" t="n">
        <v>45362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62271-2020</t>
        </is>
      </c>
      <c r="B224" s="1" t="n">
        <v>44160</v>
      </c>
      <c r="C224" s="1" t="n">
        <v>45362</v>
      </c>
      <c r="D224" t="inlineStr">
        <is>
          <t>ÖSTERGÖTLANDS LÄN</t>
        </is>
      </c>
      <c r="E224" t="inlineStr">
        <is>
          <t>ÅTVIDABERG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62925-2020</t>
        </is>
      </c>
      <c r="B225" s="1" t="n">
        <v>44162</v>
      </c>
      <c r="C225" s="1" t="n">
        <v>45362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62926-2020</t>
        </is>
      </c>
      <c r="B226" s="1" t="n">
        <v>44162</v>
      </c>
      <c r="C226" s="1" t="n">
        <v>45362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63863-2020</t>
        </is>
      </c>
      <c r="B227" s="1" t="n">
        <v>44166</v>
      </c>
      <c r="C227" s="1" t="n">
        <v>45362</v>
      </c>
      <c r="D227" t="inlineStr">
        <is>
          <t>ÖSTERGÖTLANDS LÄN</t>
        </is>
      </c>
      <c r="E227" t="inlineStr">
        <is>
          <t>ÅTVIDABERG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66870-2020</t>
        </is>
      </c>
      <c r="B228" s="1" t="n">
        <v>44176</v>
      </c>
      <c r="C228" s="1" t="n">
        <v>45362</v>
      </c>
      <c r="D228" t="inlineStr">
        <is>
          <t>ÖSTERGÖTLANDS LÄN</t>
        </is>
      </c>
      <c r="E228" t="inlineStr">
        <is>
          <t>ÅTVIDABERG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66867-2020</t>
        </is>
      </c>
      <c r="B229" s="1" t="n">
        <v>44176</v>
      </c>
      <c r="C229" s="1" t="n">
        <v>45362</v>
      </c>
      <c r="D229" t="inlineStr">
        <is>
          <t>ÖSTERGÖTLANDS LÄN</t>
        </is>
      </c>
      <c r="E229" t="inlineStr">
        <is>
          <t>ÅTVIDABERG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67255-2020</t>
        </is>
      </c>
      <c r="B230" s="1" t="n">
        <v>44181</v>
      </c>
      <c r="C230" s="1" t="n">
        <v>45362</v>
      </c>
      <c r="D230" t="inlineStr">
        <is>
          <t>ÖSTERGÖTLANDS LÄN</t>
        </is>
      </c>
      <c r="E230" t="inlineStr">
        <is>
          <t>ÅTVIDABERG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1128-2021</t>
        </is>
      </c>
      <c r="B231" s="1" t="n">
        <v>44207</v>
      </c>
      <c r="C231" s="1" t="n">
        <v>45362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918-2021</t>
        </is>
      </c>
      <c r="B232" s="1" t="n">
        <v>44207</v>
      </c>
      <c r="C232" s="1" t="n">
        <v>45362</v>
      </c>
      <c r="D232" t="inlineStr">
        <is>
          <t>ÖSTERGÖTLANDS LÄN</t>
        </is>
      </c>
      <c r="E232" t="inlineStr">
        <is>
          <t>ÅTVIDABERG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1781-2021</t>
        </is>
      </c>
      <c r="B233" s="1" t="n">
        <v>44210</v>
      </c>
      <c r="C233" s="1" t="n">
        <v>45362</v>
      </c>
      <c r="D233" t="inlineStr">
        <is>
          <t>ÖSTERGÖTLANDS LÄN</t>
        </is>
      </c>
      <c r="E233" t="inlineStr">
        <is>
          <t>ÅTVIDABERG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1803-2021</t>
        </is>
      </c>
      <c r="B234" s="1" t="n">
        <v>44210</v>
      </c>
      <c r="C234" s="1" t="n">
        <v>45362</v>
      </c>
      <c r="D234" t="inlineStr">
        <is>
          <t>ÖSTERGÖTLANDS LÄN</t>
        </is>
      </c>
      <c r="E234" t="inlineStr">
        <is>
          <t>ÅTVIDABERG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2587-2021</t>
        </is>
      </c>
      <c r="B235" s="1" t="n">
        <v>44214</v>
      </c>
      <c r="C235" s="1" t="n">
        <v>45362</v>
      </c>
      <c r="D235" t="inlineStr">
        <is>
          <t>ÖSTERGÖTLANDS LÄN</t>
        </is>
      </c>
      <c r="E235" t="inlineStr">
        <is>
          <t>ÅTVIDABERG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5549-2021</t>
        </is>
      </c>
      <c r="B236" s="1" t="n">
        <v>44230</v>
      </c>
      <c r="C236" s="1" t="n">
        <v>45362</v>
      </c>
      <c r="D236" t="inlineStr">
        <is>
          <t>ÖSTERGÖTLANDS LÄN</t>
        </is>
      </c>
      <c r="E236" t="inlineStr">
        <is>
          <t>ÅTVIDABERG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6337-2021</t>
        </is>
      </c>
      <c r="B237" s="1" t="n">
        <v>44232</v>
      </c>
      <c r="C237" s="1" t="n">
        <v>45362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6314-2021</t>
        </is>
      </c>
      <c r="B238" s="1" t="n">
        <v>44232</v>
      </c>
      <c r="C238" s="1" t="n">
        <v>45362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6342-2021</t>
        </is>
      </c>
      <c r="B239" s="1" t="n">
        <v>44232</v>
      </c>
      <c r="C239" s="1" t="n">
        <v>45362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6680-2021</t>
        </is>
      </c>
      <c r="B240" s="1" t="n">
        <v>44236</v>
      </c>
      <c r="C240" s="1" t="n">
        <v>45362</v>
      </c>
      <c r="D240" t="inlineStr">
        <is>
          <t>ÖSTERGÖTLANDS LÄN</t>
        </is>
      </c>
      <c r="E240" t="inlineStr">
        <is>
          <t>ÅTVIDABERG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7203-2021</t>
        </is>
      </c>
      <c r="B241" s="1" t="n">
        <v>44238</v>
      </c>
      <c r="C241" s="1" t="n">
        <v>45362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7204-2021</t>
        </is>
      </c>
      <c r="B242" s="1" t="n">
        <v>44238</v>
      </c>
      <c r="C242" s="1" t="n">
        <v>45362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9314-2021</t>
        </is>
      </c>
      <c r="B243" s="1" t="n">
        <v>44250</v>
      </c>
      <c r="C243" s="1" t="n">
        <v>45362</v>
      </c>
      <c r="D243" t="inlineStr">
        <is>
          <t>ÖSTERGÖTLANDS LÄN</t>
        </is>
      </c>
      <c r="E243" t="inlineStr">
        <is>
          <t>ÅTVIDABERG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9740-2021</t>
        </is>
      </c>
      <c r="B244" s="1" t="n">
        <v>44252</v>
      </c>
      <c r="C244" s="1" t="n">
        <v>45362</v>
      </c>
      <c r="D244" t="inlineStr">
        <is>
          <t>ÖSTERGÖTLANDS LÄN</t>
        </is>
      </c>
      <c r="E244" t="inlineStr">
        <is>
          <t>ÅTVIDABERG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10047-2021</t>
        </is>
      </c>
      <c r="B245" s="1" t="n">
        <v>44256</v>
      </c>
      <c r="C245" s="1" t="n">
        <v>45362</v>
      </c>
      <c r="D245" t="inlineStr">
        <is>
          <t>ÖSTERGÖTLANDS LÄN</t>
        </is>
      </c>
      <c r="E245" t="inlineStr">
        <is>
          <t>ÅTVIDABERG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10041-2021</t>
        </is>
      </c>
      <c r="B246" s="1" t="n">
        <v>44256</v>
      </c>
      <c r="C246" s="1" t="n">
        <v>45362</v>
      </c>
      <c r="D246" t="inlineStr">
        <is>
          <t>ÖSTERGÖTLANDS LÄN</t>
        </is>
      </c>
      <c r="E246" t="inlineStr">
        <is>
          <t>ÅTVIDABERG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10025-2021</t>
        </is>
      </c>
      <c r="B247" s="1" t="n">
        <v>44256</v>
      </c>
      <c r="C247" s="1" t="n">
        <v>45362</v>
      </c>
      <c r="D247" t="inlineStr">
        <is>
          <t>ÖSTERGÖTLANDS LÄN</t>
        </is>
      </c>
      <c r="E247" t="inlineStr">
        <is>
          <t>ÅTVIDABERG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13549-2021</t>
        </is>
      </c>
      <c r="B248" s="1" t="n">
        <v>44273</v>
      </c>
      <c r="C248" s="1" t="n">
        <v>45362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13547-2021</t>
        </is>
      </c>
      <c r="B249" s="1" t="n">
        <v>44273</v>
      </c>
      <c r="C249" s="1" t="n">
        <v>45362</v>
      </c>
      <c r="D249" t="inlineStr">
        <is>
          <t>ÖSTERGÖTLANDS LÄN</t>
        </is>
      </c>
      <c r="E249" t="inlineStr">
        <is>
          <t>ÅTVIDABERG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14115-2021</t>
        </is>
      </c>
      <c r="B250" s="1" t="n">
        <v>44278</v>
      </c>
      <c r="C250" s="1" t="n">
        <v>45362</v>
      </c>
      <c r="D250" t="inlineStr">
        <is>
          <t>ÖSTERGÖTLANDS LÄN</t>
        </is>
      </c>
      <c r="E250" t="inlineStr">
        <is>
          <t>ÅTVIDABERG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14572-2021</t>
        </is>
      </c>
      <c r="B251" s="1" t="n">
        <v>44279</v>
      </c>
      <c r="C251" s="1" t="n">
        <v>45362</v>
      </c>
      <c r="D251" t="inlineStr">
        <is>
          <t>ÖSTERGÖTLANDS LÄN</t>
        </is>
      </c>
      <c r="E251" t="inlineStr">
        <is>
          <t>ÅTVIDABERG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14606-2021</t>
        </is>
      </c>
      <c r="B252" s="1" t="n">
        <v>44280</v>
      </c>
      <c r="C252" s="1" t="n">
        <v>45362</v>
      </c>
      <c r="D252" t="inlineStr">
        <is>
          <t>ÖSTERGÖTLANDS LÄN</t>
        </is>
      </c>
      <c r="E252" t="inlineStr">
        <is>
          <t>ÅTVIDABERG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16258-2021</t>
        </is>
      </c>
      <c r="B253" s="1" t="n">
        <v>44292</v>
      </c>
      <c r="C253" s="1" t="n">
        <v>45362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16367-2021</t>
        </is>
      </c>
      <c r="B254" s="1" t="n">
        <v>44292</v>
      </c>
      <c r="C254" s="1" t="n">
        <v>45362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16364-2021</t>
        </is>
      </c>
      <c r="B255" s="1" t="n">
        <v>44292</v>
      </c>
      <c r="C255" s="1" t="n">
        <v>45362</v>
      </c>
      <c r="D255" t="inlineStr">
        <is>
          <t>ÖSTERGÖTLANDS LÄN</t>
        </is>
      </c>
      <c r="E255" t="inlineStr">
        <is>
          <t>ÅTVIDABERG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16278-2021</t>
        </is>
      </c>
      <c r="B256" s="1" t="n">
        <v>44292</v>
      </c>
      <c r="C256" s="1" t="n">
        <v>45362</v>
      </c>
      <c r="D256" t="inlineStr">
        <is>
          <t>ÖSTERGÖTLANDS LÄN</t>
        </is>
      </c>
      <c r="E256" t="inlineStr">
        <is>
          <t>ÅTVIDABERG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16292-2021</t>
        </is>
      </c>
      <c r="B257" s="1" t="n">
        <v>44292</v>
      </c>
      <c r="C257" s="1" t="n">
        <v>45362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16365-2021</t>
        </is>
      </c>
      <c r="B258" s="1" t="n">
        <v>44292</v>
      </c>
      <c r="C258" s="1" t="n">
        <v>45362</v>
      </c>
      <c r="D258" t="inlineStr">
        <is>
          <t>ÖSTERGÖTLANDS LÄN</t>
        </is>
      </c>
      <c r="E258" t="inlineStr">
        <is>
          <t>ÅTVIDABERG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16363-2021</t>
        </is>
      </c>
      <c r="B259" s="1" t="n">
        <v>44292</v>
      </c>
      <c r="C259" s="1" t="n">
        <v>45362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16369-2021</t>
        </is>
      </c>
      <c r="B260" s="1" t="n">
        <v>44292</v>
      </c>
      <c r="C260" s="1" t="n">
        <v>45362</v>
      </c>
      <c r="D260" t="inlineStr">
        <is>
          <t>ÖSTERGÖTLANDS LÄN</t>
        </is>
      </c>
      <c r="E260" t="inlineStr">
        <is>
          <t>ÅTVIDABERG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16480-2021</t>
        </is>
      </c>
      <c r="B261" s="1" t="n">
        <v>44293</v>
      </c>
      <c r="C261" s="1" t="n">
        <v>45362</v>
      </c>
      <c r="D261" t="inlineStr">
        <is>
          <t>ÖSTERGÖTLANDS LÄN</t>
        </is>
      </c>
      <c r="E261" t="inlineStr">
        <is>
          <t>ÅTVIDABERG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16892-2021</t>
        </is>
      </c>
      <c r="B262" s="1" t="n">
        <v>44294</v>
      </c>
      <c r="C262" s="1" t="n">
        <v>45362</v>
      </c>
      <c r="D262" t="inlineStr">
        <is>
          <t>ÖSTERGÖTLANDS LÄN</t>
        </is>
      </c>
      <c r="E262" t="inlineStr">
        <is>
          <t>ÅTVIDABERG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17038-2021</t>
        </is>
      </c>
      <c r="B263" s="1" t="n">
        <v>44295</v>
      </c>
      <c r="C263" s="1" t="n">
        <v>45362</v>
      </c>
      <c r="D263" t="inlineStr">
        <is>
          <t>ÖSTERGÖTLANDS LÄN</t>
        </is>
      </c>
      <c r="E263" t="inlineStr">
        <is>
          <t>ÅTVIDABERG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18318-2021</t>
        </is>
      </c>
      <c r="B264" s="1" t="n">
        <v>44305</v>
      </c>
      <c r="C264" s="1" t="n">
        <v>45362</v>
      </c>
      <c r="D264" t="inlineStr">
        <is>
          <t>ÖSTERGÖTLANDS LÄN</t>
        </is>
      </c>
      <c r="E264" t="inlineStr">
        <is>
          <t>ÅTVIDABERG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22174-2021</t>
        </is>
      </c>
      <c r="B265" s="1" t="n">
        <v>44325</v>
      </c>
      <c r="C265" s="1" t="n">
        <v>45362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22573-2021</t>
        </is>
      </c>
      <c r="B266" s="1" t="n">
        <v>44327</v>
      </c>
      <c r="C266" s="1" t="n">
        <v>45362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23199-2021</t>
        </is>
      </c>
      <c r="B267" s="1" t="n">
        <v>44333</v>
      </c>
      <c r="C267" s="1" t="n">
        <v>45362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25314-2021</t>
        </is>
      </c>
      <c r="B268" s="1" t="n">
        <v>44342</v>
      </c>
      <c r="C268" s="1" t="n">
        <v>45362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25488-2021</t>
        </is>
      </c>
      <c r="B269" s="1" t="n">
        <v>44342</v>
      </c>
      <c r="C269" s="1" t="n">
        <v>45362</v>
      </c>
      <c r="D269" t="inlineStr">
        <is>
          <t>ÖSTERGÖTLANDS LÄN</t>
        </is>
      </c>
      <c r="E269" t="inlineStr">
        <is>
          <t>ÅTVIDABERG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25486-2021</t>
        </is>
      </c>
      <c r="B270" s="1" t="n">
        <v>44342</v>
      </c>
      <c r="C270" s="1" t="n">
        <v>45362</v>
      </c>
      <c r="D270" t="inlineStr">
        <is>
          <t>ÖSTERGÖTLANDS LÄN</t>
        </is>
      </c>
      <c r="E270" t="inlineStr">
        <is>
          <t>ÅTVIDABERG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25831-2021</t>
        </is>
      </c>
      <c r="B271" s="1" t="n">
        <v>44344</v>
      </c>
      <c r="C271" s="1" t="n">
        <v>45362</v>
      </c>
      <c r="D271" t="inlineStr">
        <is>
          <t>ÖSTERGÖTLANDS LÄN</t>
        </is>
      </c>
      <c r="E271" t="inlineStr">
        <is>
          <t>ÅTVIDABERG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31293-2021</t>
        </is>
      </c>
      <c r="B272" s="1" t="n">
        <v>44368</v>
      </c>
      <c r="C272" s="1" t="n">
        <v>45362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32302-2021</t>
        </is>
      </c>
      <c r="B273" s="1" t="n">
        <v>44371</v>
      </c>
      <c r="C273" s="1" t="n">
        <v>45362</v>
      </c>
      <c r="D273" t="inlineStr">
        <is>
          <t>ÖSTERGÖTLANDS LÄN</t>
        </is>
      </c>
      <c r="E273" t="inlineStr">
        <is>
          <t>ÅTVIDABERG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32296-2021</t>
        </is>
      </c>
      <c r="B274" s="1" t="n">
        <v>44371</v>
      </c>
      <c r="C274" s="1" t="n">
        <v>45362</v>
      </c>
      <c r="D274" t="inlineStr">
        <is>
          <t>ÖSTERGÖTLANDS LÄN</t>
        </is>
      </c>
      <c r="E274" t="inlineStr">
        <is>
          <t>ÅTVIDABERG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34209-2021</t>
        </is>
      </c>
      <c r="B275" s="1" t="n">
        <v>44379</v>
      </c>
      <c r="C275" s="1" t="n">
        <v>45362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21.3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36320-2021</t>
        </is>
      </c>
      <c r="B276" s="1" t="n">
        <v>44390</v>
      </c>
      <c r="C276" s="1" t="n">
        <v>45362</v>
      </c>
      <c r="D276" t="inlineStr">
        <is>
          <t>ÖSTERGÖTLANDS LÄN</t>
        </is>
      </c>
      <c r="E276" t="inlineStr">
        <is>
          <t>ÅTVIDABERG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36772-2021</t>
        </is>
      </c>
      <c r="B277" s="1" t="n">
        <v>44392</v>
      </c>
      <c r="C277" s="1" t="n">
        <v>45362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36777-2021</t>
        </is>
      </c>
      <c r="B278" s="1" t="n">
        <v>44392</v>
      </c>
      <c r="C278" s="1" t="n">
        <v>45362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37109-2021</t>
        </is>
      </c>
      <c r="B279" s="1" t="n">
        <v>44396</v>
      </c>
      <c r="C279" s="1" t="n">
        <v>45362</v>
      </c>
      <c r="D279" t="inlineStr">
        <is>
          <t>ÖSTERGÖTLANDS LÄN</t>
        </is>
      </c>
      <c r="E279" t="inlineStr">
        <is>
          <t>ÅTVIDABERG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37728-2021</t>
        </is>
      </c>
      <c r="B280" s="1" t="n">
        <v>44400</v>
      </c>
      <c r="C280" s="1" t="n">
        <v>45362</v>
      </c>
      <c r="D280" t="inlineStr">
        <is>
          <t>ÖSTERGÖTLANDS LÄN</t>
        </is>
      </c>
      <c r="E280" t="inlineStr">
        <is>
          <t>ÅTVIDABERG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38567-2021</t>
        </is>
      </c>
      <c r="B281" s="1" t="n">
        <v>44407</v>
      </c>
      <c r="C281" s="1" t="n">
        <v>45362</v>
      </c>
      <c r="D281" t="inlineStr">
        <is>
          <t>ÖSTERGÖTLANDS LÄN</t>
        </is>
      </c>
      <c r="E281" t="inlineStr">
        <is>
          <t>ÅTVIDABERG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38569-2021</t>
        </is>
      </c>
      <c r="B282" s="1" t="n">
        <v>44407</v>
      </c>
      <c r="C282" s="1" t="n">
        <v>45362</v>
      </c>
      <c r="D282" t="inlineStr">
        <is>
          <t>ÖSTERGÖTLANDS LÄN</t>
        </is>
      </c>
      <c r="E282" t="inlineStr">
        <is>
          <t>ÅTVIDABERG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38805-2021</t>
        </is>
      </c>
      <c r="B283" s="1" t="n">
        <v>44410</v>
      </c>
      <c r="C283" s="1" t="n">
        <v>45362</v>
      </c>
      <c r="D283" t="inlineStr">
        <is>
          <t>ÖSTERGÖTLANDS LÄN</t>
        </is>
      </c>
      <c r="E283" t="inlineStr">
        <is>
          <t>ÅTVIDABERG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38964-2021</t>
        </is>
      </c>
      <c r="B284" s="1" t="n">
        <v>44411</v>
      </c>
      <c r="C284" s="1" t="n">
        <v>45362</v>
      </c>
      <c r="D284" t="inlineStr">
        <is>
          <t>ÖSTERGÖTLANDS LÄN</t>
        </is>
      </c>
      <c r="E284" t="inlineStr">
        <is>
          <t>ÅTVIDABERG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38966-2021</t>
        </is>
      </c>
      <c r="B285" s="1" t="n">
        <v>44411</v>
      </c>
      <c r="C285" s="1" t="n">
        <v>45362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39123-2021</t>
        </is>
      </c>
      <c r="B286" s="1" t="n">
        <v>44412</v>
      </c>
      <c r="C286" s="1" t="n">
        <v>45362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39776-2021</t>
        </is>
      </c>
      <c r="B287" s="1" t="n">
        <v>44417</v>
      </c>
      <c r="C287" s="1" t="n">
        <v>45362</v>
      </c>
      <c r="D287" t="inlineStr">
        <is>
          <t>ÖSTERGÖTLANDS LÄN</t>
        </is>
      </c>
      <c r="E287" t="inlineStr">
        <is>
          <t>ÅTVIDABERG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39882-2021</t>
        </is>
      </c>
      <c r="B288" s="1" t="n">
        <v>44417</v>
      </c>
      <c r="C288" s="1" t="n">
        <v>45362</v>
      </c>
      <c r="D288" t="inlineStr">
        <is>
          <t>ÖSTERGÖTLANDS LÄN</t>
        </is>
      </c>
      <c r="E288" t="inlineStr">
        <is>
          <t>ÅTVIDABERG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40046-2021</t>
        </is>
      </c>
      <c r="B289" s="1" t="n">
        <v>44418</v>
      </c>
      <c r="C289" s="1" t="n">
        <v>45362</v>
      </c>
      <c r="D289" t="inlineStr">
        <is>
          <t>ÖSTERGÖTLANDS LÄN</t>
        </is>
      </c>
      <c r="E289" t="inlineStr">
        <is>
          <t>ÅTVIDABERG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40219-2021</t>
        </is>
      </c>
      <c r="B290" s="1" t="n">
        <v>44419</v>
      </c>
      <c r="C290" s="1" t="n">
        <v>45362</v>
      </c>
      <c r="D290" t="inlineStr">
        <is>
          <t>ÖSTERGÖTLANDS LÄN</t>
        </is>
      </c>
      <c r="E290" t="inlineStr">
        <is>
          <t>ÅTVIDABERG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40563-2021</t>
        </is>
      </c>
      <c r="B291" s="1" t="n">
        <v>44420</v>
      </c>
      <c r="C291" s="1" t="n">
        <v>45362</v>
      </c>
      <c r="D291" t="inlineStr">
        <is>
          <t>ÖSTERGÖTLANDS LÄN</t>
        </is>
      </c>
      <c r="E291" t="inlineStr">
        <is>
          <t>ÅTVIDABERG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41440-2021</t>
        </is>
      </c>
      <c r="B292" s="1" t="n">
        <v>44424</v>
      </c>
      <c r="C292" s="1" t="n">
        <v>45362</v>
      </c>
      <c r="D292" t="inlineStr">
        <is>
          <t>ÖSTERGÖTLANDS LÄN</t>
        </is>
      </c>
      <c r="E292" t="inlineStr">
        <is>
          <t>ÅTVIDABERG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41445-2021</t>
        </is>
      </c>
      <c r="B293" s="1" t="n">
        <v>44424</v>
      </c>
      <c r="C293" s="1" t="n">
        <v>45362</v>
      </c>
      <c r="D293" t="inlineStr">
        <is>
          <t>ÖSTERGÖTLANDS LÄN</t>
        </is>
      </c>
      <c r="E293" t="inlineStr">
        <is>
          <t>ÅTVIDABERG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43510-2021</t>
        </is>
      </c>
      <c r="B294" s="1" t="n">
        <v>44433</v>
      </c>
      <c r="C294" s="1" t="n">
        <v>45362</v>
      </c>
      <c r="D294" t="inlineStr">
        <is>
          <t>ÖSTERGÖTLANDS LÄN</t>
        </is>
      </c>
      <c r="E294" t="inlineStr">
        <is>
          <t>ÅTVIDABERG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44083-2021</t>
        </is>
      </c>
      <c r="B295" s="1" t="n">
        <v>44434</v>
      </c>
      <c r="C295" s="1" t="n">
        <v>45362</v>
      </c>
      <c r="D295" t="inlineStr">
        <is>
          <t>ÖSTERGÖTLANDS LÄN</t>
        </is>
      </c>
      <c r="E295" t="inlineStr">
        <is>
          <t>ÅTVIDABERG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44129-2021</t>
        </is>
      </c>
      <c r="B296" s="1" t="n">
        <v>44434</v>
      </c>
      <c r="C296" s="1" t="n">
        <v>45362</v>
      </c>
      <c r="D296" t="inlineStr">
        <is>
          <t>ÖSTERGÖTLANDS LÄN</t>
        </is>
      </c>
      <c r="E296" t="inlineStr">
        <is>
          <t>ÅTVIDABERG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45100-2021</t>
        </is>
      </c>
      <c r="B297" s="1" t="n">
        <v>44439</v>
      </c>
      <c r="C297" s="1" t="n">
        <v>45362</v>
      </c>
      <c r="D297" t="inlineStr">
        <is>
          <t>ÖSTERGÖTLANDS LÄN</t>
        </is>
      </c>
      <c r="E297" t="inlineStr">
        <is>
          <t>ÅTVIDABERG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45067-2021</t>
        </is>
      </c>
      <c r="B298" s="1" t="n">
        <v>44439</v>
      </c>
      <c r="C298" s="1" t="n">
        <v>45362</v>
      </c>
      <c r="D298" t="inlineStr">
        <is>
          <t>ÖSTERGÖTLANDS LÄN</t>
        </is>
      </c>
      <c r="E298" t="inlineStr">
        <is>
          <t>ÅTVIDABERG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46710-2021</t>
        </is>
      </c>
      <c r="B299" s="1" t="n">
        <v>44445</v>
      </c>
      <c r="C299" s="1" t="n">
        <v>45362</v>
      </c>
      <c r="D299" t="inlineStr">
        <is>
          <t>ÖSTERGÖTLANDS LÄN</t>
        </is>
      </c>
      <c r="E299" t="inlineStr">
        <is>
          <t>ÅTVIDABERG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47729-2021</t>
        </is>
      </c>
      <c r="B300" s="1" t="n">
        <v>44448</v>
      </c>
      <c r="C300" s="1" t="n">
        <v>45362</v>
      </c>
      <c r="D300" t="inlineStr">
        <is>
          <t>ÖSTERGÖTLANDS LÄN</t>
        </is>
      </c>
      <c r="E300" t="inlineStr">
        <is>
          <t>ÅTVIDABERG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48291-2021</t>
        </is>
      </c>
      <c r="B301" s="1" t="n">
        <v>44449</v>
      </c>
      <c r="C301" s="1" t="n">
        <v>45362</v>
      </c>
      <c r="D301" t="inlineStr">
        <is>
          <t>ÖSTERGÖTLANDS LÄN</t>
        </is>
      </c>
      <c r="E301" t="inlineStr">
        <is>
          <t>ÅTVIDABERG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49176-2021</t>
        </is>
      </c>
      <c r="B302" s="1" t="n">
        <v>44454</v>
      </c>
      <c r="C302" s="1" t="n">
        <v>45362</v>
      </c>
      <c r="D302" t="inlineStr">
        <is>
          <t>ÖSTERGÖTLANDS LÄN</t>
        </is>
      </c>
      <c r="E302" t="inlineStr">
        <is>
          <t>ÅTVIDABERG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50593-2021</t>
        </is>
      </c>
      <c r="B303" s="1" t="n">
        <v>44459</v>
      </c>
      <c r="C303" s="1" t="n">
        <v>45362</v>
      </c>
      <c r="D303" t="inlineStr">
        <is>
          <t>ÖSTERGÖTLANDS LÄN</t>
        </is>
      </c>
      <c r="E303" t="inlineStr">
        <is>
          <t>ÅTVIDABERG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50751-2021</t>
        </is>
      </c>
      <c r="B304" s="1" t="n">
        <v>44460</v>
      </c>
      <c r="C304" s="1" t="n">
        <v>45362</v>
      </c>
      <c r="D304" t="inlineStr">
        <is>
          <t>ÖSTERGÖTLANDS LÄN</t>
        </is>
      </c>
      <c r="E304" t="inlineStr">
        <is>
          <t>ÅTVIDABERG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51881-2021</t>
        </is>
      </c>
      <c r="B305" s="1" t="n">
        <v>44462</v>
      </c>
      <c r="C305" s="1" t="n">
        <v>45362</v>
      </c>
      <c r="D305" t="inlineStr">
        <is>
          <t>ÖSTERGÖTLANDS LÄN</t>
        </is>
      </c>
      <c r="E305" t="inlineStr">
        <is>
          <t>ÅTVIDABERG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51704-2021</t>
        </is>
      </c>
      <c r="B306" s="1" t="n">
        <v>44462</v>
      </c>
      <c r="C306" s="1" t="n">
        <v>45362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51882-2021</t>
        </is>
      </c>
      <c r="B307" s="1" t="n">
        <v>44462</v>
      </c>
      <c r="C307" s="1" t="n">
        <v>45362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52776-2021</t>
        </is>
      </c>
      <c r="B308" s="1" t="n">
        <v>44467</v>
      </c>
      <c r="C308" s="1" t="n">
        <v>45362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52773-2021</t>
        </is>
      </c>
      <c r="B309" s="1" t="n">
        <v>44467</v>
      </c>
      <c r="C309" s="1" t="n">
        <v>45362</v>
      </c>
      <c r="D309" t="inlineStr">
        <is>
          <t>ÖSTERGÖTLANDS LÄN</t>
        </is>
      </c>
      <c r="E309" t="inlineStr">
        <is>
          <t>ÅTVIDABERG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52763-2021</t>
        </is>
      </c>
      <c r="B310" s="1" t="n">
        <v>44467</v>
      </c>
      <c r="C310" s="1" t="n">
        <v>45362</v>
      </c>
      <c r="D310" t="inlineStr">
        <is>
          <t>ÖSTERGÖTLANDS LÄN</t>
        </is>
      </c>
      <c r="E310" t="inlineStr">
        <is>
          <t>ÅTVIDABERG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52743-2021</t>
        </is>
      </c>
      <c r="B311" s="1" t="n">
        <v>44467</v>
      </c>
      <c r="C311" s="1" t="n">
        <v>45362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52756-2021</t>
        </is>
      </c>
      <c r="B312" s="1" t="n">
        <v>44467</v>
      </c>
      <c r="C312" s="1" t="n">
        <v>45362</v>
      </c>
      <c r="D312" t="inlineStr">
        <is>
          <t>ÖSTERGÖTLANDS LÄN</t>
        </is>
      </c>
      <c r="E312" t="inlineStr">
        <is>
          <t>ÅTVIDABERG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53082-2021</t>
        </is>
      </c>
      <c r="B313" s="1" t="n">
        <v>44467</v>
      </c>
      <c r="C313" s="1" t="n">
        <v>45362</v>
      </c>
      <c r="D313" t="inlineStr">
        <is>
          <t>ÖSTERGÖTLANDS LÄN</t>
        </is>
      </c>
      <c r="E313" t="inlineStr">
        <is>
          <t>ÅTVIDABERG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54539-2021</t>
        </is>
      </c>
      <c r="B314" s="1" t="n">
        <v>44473</v>
      </c>
      <c r="C314" s="1" t="n">
        <v>45362</v>
      </c>
      <c r="D314" t="inlineStr">
        <is>
          <t>ÖSTERGÖTLANDS LÄN</t>
        </is>
      </c>
      <c r="E314" t="inlineStr">
        <is>
          <t>ÅTVIDABERG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56256-2021</t>
        </is>
      </c>
      <c r="B315" s="1" t="n">
        <v>44479</v>
      </c>
      <c r="C315" s="1" t="n">
        <v>45362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56270-2021</t>
        </is>
      </c>
      <c r="B316" s="1" t="n">
        <v>44479</v>
      </c>
      <c r="C316" s="1" t="n">
        <v>45362</v>
      </c>
      <c r="D316" t="inlineStr">
        <is>
          <t>ÖSTERGÖTLANDS LÄN</t>
        </is>
      </c>
      <c r="E316" t="inlineStr">
        <is>
          <t>ÅTVIDABERG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56262-2021</t>
        </is>
      </c>
      <c r="B317" s="1" t="n">
        <v>44479</v>
      </c>
      <c r="C317" s="1" t="n">
        <v>45362</v>
      </c>
      <c r="D317" t="inlineStr">
        <is>
          <t>ÖSTERGÖTLANDS LÄN</t>
        </is>
      </c>
      <c r="E317" t="inlineStr">
        <is>
          <t>ÅTVIDABERG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56255-2021</t>
        </is>
      </c>
      <c r="B318" s="1" t="n">
        <v>44479</v>
      </c>
      <c r="C318" s="1" t="n">
        <v>45362</v>
      </c>
      <c r="D318" t="inlineStr">
        <is>
          <t>ÖSTERGÖTLANDS LÄN</t>
        </is>
      </c>
      <c r="E318" t="inlineStr">
        <is>
          <t>ÅTVIDABERG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58963-2021</t>
        </is>
      </c>
      <c r="B319" s="1" t="n">
        <v>44490</v>
      </c>
      <c r="C319" s="1" t="n">
        <v>45362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59722-2021</t>
        </is>
      </c>
      <c r="B320" s="1" t="n">
        <v>44494</v>
      </c>
      <c r="C320" s="1" t="n">
        <v>45362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60527-2021</t>
        </is>
      </c>
      <c r="B321" s="1" t="n">
        <v>44495</v>
      </c>
      <c r="C321" s="1" t="n">
        <v>45362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60516-2021</t>
        </is>
      </c>
      <c r="B322" s="1" t="n">
        <v>44495</v>
      </c>
      <c r="C322" s="1" t="n">
        <v>45362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61734-2021</t>
        </is>
      </c>
      <c r="B323" s="1" t="n">
        <v>44501</v>
      </c>
      <c r="C323" s="1" t="n">
        <v>45362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64993-2021</t>
        </is>
      </c>
      <c r="B324" s="1" t="n">
        <v>44514</v>
      </c>
      <c r="C324" s="1" t="n">
        <v>45362</v>
      </c>
      <c r="D324" t="inlineStr">
        <is>
          <t>ÖSTERGÖTLANDS LÄN</t>
        </is>
      </c>
      <c r="E324" t="inlineStr">
        <is>
          <t>ÅTVIDABERG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65588-2021</t>
        </is>
      </c>
      <c r="B325" s="1" t="n">
        <v>44516</v>
      </c>
      <c r="C325" s="1" t="n">
        <v>45362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65590-2021</t>
        </is>
      </c>
      <c r="B326" s="1" t="n">
        <v>44516</v>
      </c>
      <c r="C326" s="1" t="n">
        <v>45362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65594-2021</t>
        </is>
      </c>
      <c r="B327" s="1" t="n">
        <v>44516</v>
      </c>
      <c r="C327" s="1" t="n">
        <v>45362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65573-2021</t>
        </is>
      </c>
      <c r="B328" s="1" t="n">
        <v>44516</v>
      </c>
      <c r="C328" s="1" t="n">
        <v>45362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65828-2021</t>
        </is>
      </c>
      <c r="B329" s="1" t="n">
        <v>44517</v>
      </c>
      <c r="C329" s="1" t="n">
        <v>45362</v>
      </c>
      <c r="D329" t="inlineStr">
        <is>
          <t>ÖSTERGÖTLANDS LÄN</t>
        </is>
      </c>
      <c r="E329" t="inlineStr">
        <is>
          <t>ÅTVIDABERG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68547-2021</t>
        </is>
      </c>
      <c r="B330" s="1" t="n">
        <v>44528</v>
      </c>
      <c r="C330" s="1" t="n">
        <v>45362</v>
      </c>
      <c r="D330" t="inlineStr">
        <is>
          <t>ÖSTERGÖTLANDS LÄN</t>
        </is>
      </c>
      <c r="E330" t="inlineStr">
        <is>
          <t>ÅTVIDABERG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69343-2021</t>
        </is>
      </c>
      <c r="B331" s="1" t="n">
        <v>44531</v>
      </c>
      <c r="C331" s="1" t="n">
        <v>45362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Aktiebolag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69855-2021</t>
        </is>
      </c>
      <c r="B332" s="1" t="n">
        <v>44532</v>
      </c>
      <c r="C332" s="1" t="n">
        <v>45362</v>
      </c>
      <c r="D332" t="inlineStr">
        <is>
          <t>ÖSTERGÖTLANDS LÄN</t>
        </is>
      </c>
      <c r="E332" t="inlineStr">
        <is>
          <t>ÅTVIDABERG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69940-2021</t>
        </is>
      </c>
      <c r="B333" s="1" t="n">
        <v>44533</v>
      </c>
      <c r="C333" s="1" t="n">
        <v>45362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71788-2021</t>
        </is>
      </c>
      <c r="B334" s="1" t="n">
        <v>44539</v>
      </c>
      <c r="C334" s="1" t="n">
        <v>45362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71791-2021</t>
        </is>
      </c>
      <c r="B335" s="1" t="n">
        <v>44539</v>
      </c>
      <c r="C335" s="1" t="n">
        <v>45362</v>
      </c>
      <c r="D335" t="inlineStr">
        <is>
          <t>ÖSTERGÖTLANDS LÄN</t>
        </is>
      </c>
      <c r="E335" t="inlineStr">
        <is>
          <t>ÅTVIDABERG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71768-2021</t>
        </is>
      </c>
      <c r="B336" s="1" t="n">
        <v>44543</v>
      </c>
      <c r="C336" s="1" t="n">
        <v>45362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72254-2021</t>
        </is>
      </c>
      <c r="B337" s="1" t="n">
        <v>44545</v>
      </c>
      <c r="C337" s="1" t="n">
        <v>45362</v>
      </c>
      <c r="D337" t="inlineStr">
        <is>
          <t>ÖSTERGÖTLANDS LÄN</t>
        </is>
      </c>
      <c r="E337" t="inlineStr">
        <is>
          <t>ÅTVIDABERG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72398-2021</t>
        </is>
      </c>
      <c r="B338" s="1" t="n">
        <v>44545</v>
      </c>
      <c r="C338" s="1" t="n">
        <v>45362</v>
      </c>
      <c r="D338" t="inlineStr">
        <is>
          <t>ÖSTERGÖTLANDS LÄN</t>
        </is>
      </c>
      <c r="E338" t="inlineStr">
        <is>
          <t>ÅTVIDABERG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72597-2021</t>
        </is>
      </c>
      <c r="B339" s="1" t="n">
        <v>44546</v>
      </c>
      <c r="C339" s="1" t="n">
        <v>45362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72716-2021</t>
        </is>
      </c>
      <c r="B340" s="1" t="n">
        <v>44546</v>
      </c>
      <c r="C340" s="1" t="n">
        <v>45362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72696-2021</t>
        </is>
      </c>
      <c r="B341" s="1" t="n">
        <v>44546</v>
      </c>
      <c r="C341" s="1" t="n">
        <v>45362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73770-2021</t>
        </is>
      </c>
      <c r="B342" s="1" t="n">
        <v>44552</v>
      </c>
      <c r="C342" s="1" t="n">
        <v>45362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109-2022</t>
        </is>
      </c>
      <c r="B343" s="1" t="n">
        <v>44564</v>
      </c>
      <c r="C343" s="1" t="n">
        <v>45362</v>
      </c>
      <c r="D343" t="inlineStr">
        <is>
          <t>ÖSTERGÖTLANDS LÄN</t>
        </is>
      </c>
      <c r="E343" t="inlineStr">
        <is>
          <t>ÅTVIDABERG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114-2022</t>
        </is>
      </c>
      <c r="B344" s="1" t="n">
        <v>44564</v>
      </c>
      <c r="C344" s="1" t="n">
        <v>45362</v>
      </c>
      <c r="D344" t="inlineStr">
        <is>
          <t>ÖSTERGÖTLANDS LÄN</t>
        </is>
      </c>
      <c r="E344" t="inlineStr">
        <is>
          <t>ÅTVIDABERG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270-2022</t>
        </is>
      </c>
      <c r="B345" s="1" t="n">
        <v>44565</v>
      </c>
      <c r="C345" s="1" t="n">
        <v>45362</v>
      </c>
      <c r="D345" t="inlineStr">
        <is>
          <t>ÖSTERGÖTLANDS LÄN</t>
        </is>
      </c>
      <c r="E345" t="inlineStr">
        <is>
          <t>ÅTVIDABERG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377-2022</t>
        </is>
      </c>
      <c r="B346" s="1" t="n">
        <v>44565</v>
      </c>
      <c r="C346" s="1" t="n">
        <v>45362</v>
      </c>
      <c r="D346" t="inlineStr">
        <is>
          <t>ÖSTERGÖTLANDS LÄN</t>
        </is>
      </c>
      <c r="E346" t="inlineStr">
        <is>
          <t>ÅTVIDABERG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1356-2022</t>
        </is>
      </c>
      <c r="B347" s="1" t="n">
        <v>44573</v>
      </c>
      <c r="C347" s="1" t="n">
        <v>45362</v>
      </c>
      <c r="D347" t="inlineStr">
        <is>
          <t>ÖSTERGÖTLANDS LÄN</t>
        </is>
      </c>
      <c r="E347" t="inlineStr">
        <is>
          <t>ÅTVIDABERG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1350-2022</t>
        </is>
      </c>
      <c r="B348" s="1" t="n">
        <v>44573</v>
      </c>
      <c r="C348" s="1" t="n">
        <v>45362</v>
      </c>
      <c r="D348" t="inlineStr">
        <is>
          <t>ÖSTERGÖTLANDS LÄN</t>
        </is>
      </c>
      <c r="E348" t="inlineStr">
        <is>
          <t>ÅTVIDABERG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1847-2022</t>
        </is>
      </c>
      <c r="B349" s="1" t="n">
        <v>44574</v>
      </c>
      <c r="C349" s="1" t="n">
        <v>45362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1845-2022</t>
        </is>
      </c>
      <c r="B350" s="1" t="n">
        <v>44574</v>
      </c>
      <c r="C350" s="1" t="n">
        <v>45362</v>
      </c>
      <c r="D350" t="inlineStr">
        <is>
          <t>ÖSTERGÖTLANDS LÄN</t>
        </is>
      </c>
      <c r="E350" t="inlineStr">
        <is>
          <t>ÅTVIDABERG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2478-2022</t>
        </is>
      </c>
      <c r="B351" s="1" t="n">
        <v>44579</v>
      </c>
      <c r="C351" s="1" t="n">
        <v>45362</v>
      </c>
      <c r="D351" t="inlineStr">
        <is>
          <t>ÖSTERGÖTLANDS LÄN</t>
        </is>
      </c>
      <c r="E351" t="inlineStr">
        <is>
          <t>ÅTVIDABERG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3144-2022</t>
        </is>
      </c>
      <c r="B352" s="1" t="n">
        <v>44582</v>
      </c>
      <c r="C352" s="1" t="n">
        <v>45362</v>
      </c>
      <c r="D352" t="inlineStr">
        <is>
          <t>ÖSTERGÖTLANDS LÄN</t>
        </is>
      </c>
      <c r="E352" t="inlineStr">
        <is>
          <t>ÅTVIDABERG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3143-2022</t>
        </is>
      </c>
      <c r="B353" s="1" t="n">
        <v>44582</v>
      </c>
      <c r="C353" s="1" t="n">
        <v>45362</v>
      </c>
      <c r="D353" t="inlineStr">
        <is>
          <t>ÖSTERGÖTLANDS LÄN</t>
        </is>
      </c>
      <c r="E353" t="inlineStr">
        <is>
          <t>ÅTVIDABERG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3633-2022</t>
        </is>
      </c>
      <c r="B354" s="1" t="n">
        <v>44586</v>
      </c>
      <c r="C354" s="1" t="n">
        <v>45362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3567-2022</t>
        </is>
      </c>
      <c r="B355" s="1" t="n">
        <v>44586</v>
      </c>
      <c r="C355" s="1" t="n">
        <v>45362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3747-2022</t>
        </is>
      </c>
      <c r="B356" s="1" t="n">
        <v>44586</v>
      </c>
      <c r="C356" s="1" t="n">
        <v>45362</v>
      </c>
      <c r="D356" t="inlineStr">
        <is>
          <t>ÖSTERGÖTLANDS LÄN</t>
        </is>
      </c>
      <c r="E356" t="inlineStr">
        <is>
          <t>ÅTVIDABERG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4885-2022</t>
        </is>
      </c>
      <c r="B357" s="1" t="n">
        <v>44593</v>
      </c>
      <c r="C357" s="1" t="n">
        <v>45362</v>
      </c>
      <c r="D357" t="inlineStr">
        <is>
          <t>ÖSTERGÖTLANDS LÄN</t>
        </is>
      </c>
      <c r="E357" t="inlineStr">
        <is>
          <t>ÅTVIDABERG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5663-2022</t>
        </is>
      </c>
      <c r="B358" s="1" t="n">
        <v>44596</v>
      </c>
      <c r="C358" s="1" t="n">
        <v>45362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6103-2022</t>
        </is>
      </c>
      <c r="B359" s="1" t="n">
        <v>44599</v>
      </c>
      <c r="C359" s="1" t="n">
        <v>45362</v>
      </c>
      <c r="D359" t="inlineStr">
        <is>
          <t>ÖSTERGÖTLANDS LÄN</t>
        </is>
      </c>
      <c r="E359" t="inlineStr">
        <is>
          <t>ÅTVIDABERG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7652-2022</t>
        </is>
      </c>
      <c r="B360" s="1" t="n">
        <v>44607</v>
      </c>
      <c r="C360" s="1" t="n">
        <v>45362</v>
      </c>
      <c r="D360" t="inlineStr">
        <is>
          <t>ÖSTERGÖTLANDS LÄN</t>
        </is>
      </c>
      <c r="E360" t="inlineStr">
        <is>
          <t>ÅTVIDABERG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9759-2022</t>
        </is>
      </c>
      <c r="B361" s="1" t="n">
        <v>44618</v>
      </c>
      <c r="C361" s="1" t="n">
        <v>45362</v>
      </c>
      <c r="D361" t="inlineStr">
        <is>
          <t>ÖSTERGÖTLANDS LÄN</t>
        </is>
      </c>
      <c r="E361" t="inlineStr">
        <is>
          <t>ÅTVIDABERG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9975-2022</t>
        </is>
      </c>
      <c r="B362" s="1" t="n">
        <v>44621</v>
      </c>
      <c r="C362" s="1" t="n">
        <v>45362</v>
      </c>
      <c r="D362" t="inlineStr">
        <is>
          <t>ÖSTERGÖTLANDS LÄN</t>
        </is>
      </c>
      <c r="E362" t="inlineStr">
        <is>
          <t>ÅTVIDABERG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10222-2022</t>
        </is>
      </c>
      <c r="B363" s="1" t="n">
        <v>44622</v>
      </c>
      <c r="C363" s="1" t="n">
        <v>45362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9644-2022</t>
        </is>
      </c>
      <c r="B364" s="1" t="n">
        <v>44627</v>
      </c>
      <c r="C364" s="1" t="n">
        <v>45362</v>
      </c>
      <c r="D364" t="inlineStr">
        <is>
          <t>ÖSTERGÖTLANDS LÄN</t>
        </is>
      </c>
      <c r="E364" t="inlineStr">
        <is>
          <t>ÅTVIDABERG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10820-2022</t>
        </is>
      </c>
      <c r="B365" s="1" t="n">
        <v>44627</v>
      </c>
      <c r="C365" s="1" t="n">
        <v>45362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11222-2022</t>
        </is>
      </c>
      <c r="B366" s="1" t="n">
        <v>44629</v>
      </c>
      <c r="C366" s="1" t="n">
        <v>45362</v>
      </c>
      <c r="D366" t="inlineStr">
        <is>
          <t>ÖSTERGÖTLANDS LÄN</t>
        </is>
      </c>
      <c r="E366" t="inlineStr">
        <is>
          <t>ÅTVIDABERG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11505-2022</t>
        </is>
      </c>
      <c r="B367" s="1" t="n">
        <v>44631</v>
      </c>
      <c r="C367" s="1" t="n">
        <v>45362</v>
      </c>
      <c r="D367" t="inlineStr">
        <is>
          <t>ÖSTERGÖTLANDS LÄN</t>
        </is>
      </c>
      <c r="E367" t="inlineStr">
        <is>
          <t>ÅTVIDABERG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12654-2022</t>
        </is>
      </c>
      <c r="B368" s="1" t="n">
        <v>44641</v>
      </c>
      <c r="C368" s="1" t="n">
        <v>45362</v>
      </c>
      <c r="D368" t="inlineStr">
        <is>
          <t>ÖSTERGÖTLANDS LÄN</t>
        </is>
      </c>
      <c r="E368" t="inlineStr">
        <is>
          <t>ÅTVIDABERG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12655-2022</t>
        </is>
      </c>
      <c r="B369" s="1" t="n">
        <v>44641</v>
      </c>
      <c r="C369" s="1" t="n">
        <v>45362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14774-2022</t>
        </is>
      </c>
      <c r="B370" s="1" t="n">
        <v>44656</v>
      </c>
      <c r="C370" s="1" t="n">
        <v>45362</v>
      </c>
      <c r="D370" t="inlineStr">
        <is>
          <t>ÖSTERGÖTLANDS LÄN</t>
        </is>
      </c>
      <c r="E370" t="inlineStr">
        <is>
          <t>ÅTVIDABERG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14770-2022</t>
        </is>
      </c>
      <c r="B371" s="1" t="n">
        <v>44656</v>
      </c>
      <c r="C371" s="1" t="n">
        <v>45362</v>
      </c>
      <c r="D371" t="inlineStr">
        <is>
          <t>ÖSTERGÖTLANDS LÄN</t>
        </is>
      </c>
      <c r="E371" t="inlineStr">
        <is>
          <t>ÅTVIDABERG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15264-2022</t>
        </is>
      </c>
      <c r="B372" s="1" t="n">
        <v>44659</v>
      </c>
      <c r="C372" s="1" t="n">
        <v>45362</v>
      </c>
      <c r="D372" t="inlineStr">
        <is>
          <t>ÖSTERGÖTLANDS LÄN</t>
        </is>
      </c>
      <c r="E372" t="inlineStr">
        <is>
          <t>ÅTVIDABERG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16110-2022</t>
        </is>
      </c>
      <c r="B373" s="1" t="n">
        <v>44665</v>
      </c>
      <c r="C373" s="1" t="n">
        <v>45362</v>
      </c>
      <c r="D373" t="inlineStr">
        <is>
          <t>ÖSTERGÖTLANDS LÄN</t>
        </is>
      </c>
      <c r="E373" t="inlineStr">
        <is>
          <t>ÅTVIDABERG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17879-2022</t>
        </is>
      </c>
      <c r="B374" s="1" t="n">
        <v>44683</v>
      </c>
      <c r="C374" s="1" t="n">
        <v>45362</v>
      </c>
      <c r="D374" t="inlineStr">
        <is>
          <t>ÖSTERGÖTLANDS LÄN</t>
        </is>
      </c>
      <c r="E374" t="inlineStr">
        <is>
          <t>ÅTVIDABERG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18328-2022</t>
        </is>
      </c>
      <c r="B375" s="1" t="n">
        <v>44685</v>
      </c>
      <c r="C375" s="1" t="n">
        <v>45362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15.1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19427-2022</t>
        </is>
      </c>
      <c r="B376" s="1" t="n">
        <v>44693</v>
      </c>
      <c r="C376" s="1" t="n">
        <v>45362</v>
      </c>
      <c r="D376" t="inlineStr">
        <is>
          <t>ÖSTERGÖTLANDS LÄN</t>
        </is>
      </c>
      <c r="E376" t="inlineStr">
        <is>
          <t>ÅTVIDABERG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21611-2022</t>
        </is>
      </c>
      <c r="B377" s="1" t="n">
        <v>44706</v>
      </c>
      <c r="C377" s="1" t="n">
        <v>45362</v>
      </c>
      <c r="D377" t="inlineStr">
        <is>
          <t>ÖSTERGÖTLANDS LÄN</t>
        </is>
      </c>
      <c r="E377" t="inlineStr">
        <is>
          <t>ÅTVIDABERG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23525-2022</t>
        </is>
      </c>
      <c r="B378" s="1" t="n">
        <v>44721</v>
      </c>
      <c r="C378" s="1" t="n">
        <v>45362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23517-2022</t>
        </is>
      </c>
      <c r="B379" s="1" t="n">
        <v>44721</v>
      </c>
      <c r="C379" s="1" t="n">
        <v>45362</v>
      </c>
      <c r="D379" t="inlineStr">
        <is>
          <t>ÖSTERGÖTLANDS LÄN</t>
        </is>
      </c>
      <c r="E379" t="inlineStr">
        <is>
          <t>ÅTVIDABERG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23523-2022</t>
        </is>
      </c>
      <c r="B380" s="1" t="n">
        <v>44721</v>
      </c>
      <c r="C380" s="1" t="n">
        <v>45362</v>
      </c>
      <c r="D380" t="inlineStr">
        <is>
          <t>ÖSTERGÖTLANDS LÄN</t>
        </is>
      </c>
      <c r="E380" t="inlineStr">
        <is>
          <t>ÅTVIDABERG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23520-2022</t>
        </is>
      </c>
      <c r="B381" s="1" t="n">
        <v>44721</v>
      </c>
      <c r="C381" s="1" t="n">
        <v>45362</v>
      </c>
      <c r="D381" t="inlineStr">
        <is>
          <t>ÖSTERGÖTLANDS LÄN</t>
        </is>
      </c>
      <c r="E381" t="inlineStr">
        <is>
          <t>ÅTVIDABERG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23530-2022</t>
        </is>
      </c>
      <c r="B382" s="1" t="n">
        <v>44721</v>
      </c>
      <c r="C382" s="1" t="n">
        <v>45362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23844-2022</t>
        </is>
      </c>
      <c r="B383" s="1" t="n">
        <v>44722</v>
      </c>
      <c r="C383" s="1" t="n">
        <v>45362</v>
      </c>
      <c r="D383" t="inlineStr">
        <is>
          <t>ÖSTERGÖTLANDS LÄN</t>
        </is>
      </c>
      <c r="E383" t="inlineStr">
        <is>
          <t>ÅTVIDABERG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24085-2022</t>
        </is>
      </c>
      <c r="B384" s="1" t="n">
        <v>44724</v>
      </c>
      <c r="C384" s="1" t="n">
        <v>45362</v>
      </c>
      <c r="D384" t="inlineStr">
        <is>
          <t>ÖSTERGÖTLANDS LÄN</t>
        </is>
      </c>
      <c r="E384" t="inlineStr">
        <is>
          <t>ÅTVIDABERG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24865-2022</t>
        </is>
      </c>
      <c r="B385" s="1" t="n">
        <v>44728</v>
      </c>
      <c r="C385" s="1" t="n">
        <v>45362</v>
      </c>
      <c r="D385" t="inlineStr">
        <is>
          <t>ÖSTERGÖTLANDS LÄN</t>
        </is>
      </c>
      <c r="E385" t="inlineStr">
        <is>
          <t>ÅTVIDABERG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25168-2022</t>
        </is>
      </c>
      <c r="B386" s="1" t="n">
        <v>44729</v>
      </c>
      <c r="C386" s="1" t="n">
        <v>45362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25171-2022</t>
        </is>
      </c>
      <c r="B387" s="1" t="n">
        <v>44729</v>
      </c>
      <c r="C387" s="1" t="n">
        <v>45362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25551-2022</t>
        </is>
      </c>
      <c r="B388" s="1" t="n">
        <v>44732</v>
      </c>
      <c r="C388" s="1" t="n">
        <v>45362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26348-2022</t>
        </is>
      </c>
      <c r="B389" s="1" t="n">
        <v>44735</v>
      </c>
      <c r="C389" s="1" t="n">
        <v>45362</v>
      </c>
      <c r="D389" t="inlineStr">
        <is>
          <t>ÖSTERGÖTLANDS LÄN</t>
        </is>
      </c>
      <c r="E389" t="inlineStr">
        <is>
          <t>ÅTVIDABERG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26373-2022</t>
        </is>
      </c>
      <c r="B390" s="1" t="n">
        <v>44735</v>
      </c>
      <c r="C390" s="1" t="n">
        <v>45362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27170-2022</t>
        </is>
      </c>
      <c r="B391" s="1" t="n">
        <v>44741</v>
      </c>
      <c r="C391" s="1" t="n">
        <v>45362</v>
      </c>
      <c r="D391" t="inlineStr">
        <is>
          <t>ÖSTERGÖTLANDS LÄN</t>
        </is>
      </c>
      <c r="E391" t="inlineStr">
        <is>
          <t>ÅTVIDABERG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27417-2022</t>
        </is>
      </c>
      <c r="B392" s="1" t="n">
        <v>44742</v>
      </c>
      <c r="C392" s="1" t="n">
        <v>45362</v>
      </c>
      <c r="D392" t="inlineStr">
        <is>
          <t>ÖSTERGÖTLANDS LÄN</t>
        </is>
      </c>
      <c r="E392" t="inlineStr">
        <is>
          <t>ÅTVIDABERG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27415-2022</t>
        </is>
      </c>
      <c r="B393" s="1" t="n">
        <v>44742</v>
      </c>
      <c r="C393" s="1" t="n">
        <v>45362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27977-2022</t>
        </is>
      </c>
      <c r="B394" s="1" t="n">
        <v>44745</v>
      </c>
      <c r="C394" s="1" t="n">
        <v>45362</v>
      </c>
      <c r="D394" t="inlineStr">
        <is>
          <t>ÖSTERGÖTLANDS LÄN</t>
        </is>
      </c>
      <c r="E394" t="inlineStr">
        <is>
          <t>ÅTVIDABERG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27978-2022</t>
        </is>
      </c>
      <c r="B395" s="1" t="n">
        <v>44745</v>
      </c>
      <c r="C395" s="1" t="n">
        <v>45362</v>
      </c>
      <c r="D395" t="inlineStr">
        <is>
          <t>ÖSTERGÖTLANDS LÄN</t>
        </is>
      </c>
      <c r="E395" t="inlineStr">
        <is>
          <t>ÅTVIDABERG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30321-2022</t>
        </is>
      </c>
      <c r="B396" s="1" t="n">
        <v>44760</v>
      </c>
      <c r="C396" s="1" t="n">
        <v>45362</v>
      </c>
      <c r="D396" t="inlineStr">
        <is>
          <t>ÖSTERGÖTLANDS LÄN</t>
        </is>
      </c>
      <c r="E396" t="inlineStr">
        <is>
          <t>ÅTVIDABERG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30891-2022</t>
        </is>
      </c>
      <c r="B397" s="1" t="n">
        <v>44767</v>
      </c>
      <c r="C397" s="1" t="n">
        <v>45362</v>
      </c>
      <c r="D397" t="inlineStr">
        <is>
          <t>ÖSTERGÖTLANDS LÄN</t>
        </is>
      </c>
      <c r="E397" t="inlineStr">
        <is>
          <t>ÅTVIDABERG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30899-2022</t>
        </is>
      </c>
      <c r="B398" s="1" t="n">
        <v>44767</v>
      </c>
      <c r="C398" s="1" t="n">
        <v>45362</v>
      </c>
      <c r="D398" t="inlineStr">
        <is>
          <t>ÖSTERGÖTLANDS LÄN</t>
        </is>
      </c>
      <c r="E398" t="inlineStr">
        <is>
          <t>ÅTVIDABERG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30895-2022</t>
        </is>
      </c>
      <c r="B399" s="1" t="n">
        <v>44767</v>
      </c>
      <c r="C399" s="1" t="n">
        <v>45362</v>
      </c>
      <c r="D399" t="inlineStr">
        <is>
          <t>ÖSTERGÖTLANDS LÄN</t>
        </is>
      </c>
      <c r="E399" t="inlineStr">
        <is>
          <t>ÅTVIDABERG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30970-2022</t>
        </is>
      </c>
      <c r="B400" s="1" t="n">
        <v>44768</v>
      </c>
      <c r="C400" s="1" t="n">
        <v>45362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statliga verk och myndigheter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31127-2022</t>
        </is>
      </c>
      <c r="B401" s="1" t="n">
        <v>44770</v>
      </c>
      <c r="C401" s="1" t="n">
        <v>45362</v>
      </c>
      <c r="D401" t="inlineStr">
        <is>
          <t>ÖSTERGÖTLANDS LÄN</t>
        </is>
      </c>
      <c r="E401" t="inlineStr">
        <is>
          <t>ÅTVIDABERG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31425-2022</t>
        </is>
      </c>
      <c r="B402" s="1" t="n">
        <v>44774</v>
      </c>
      <c r="C402" s="1" t="n">
        <v>45362</v>
      </c>
      <c r="D402" t="inlineStr">
        <is>
          <t>ÖSTERGÖTLANDS LÄN</t>
        </is>
      </c>
      <c r="E402" t="inlineStr">
        <is>
          <t>ÅTVIDABERG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31929-2022</t>
        </is>
      </c>
      <c r="B403" s="1" t="n">
        <v>44777</v>
      </c>
      <c r="C403" s="1" t="n">
        <v>45362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31928-2022</t>
        </is>
      </c>
      <c r="B404" s="1" t="n">
        <v>44777</v>
      </c>
      <c r="C404" s="1" t="n">
        <v>45362</v>
      </c>
      <c r="D404" t="inlineStr">
        <is>
          <t>ÖSTERGÖTLANDS LÄN</t>
        </is>
      </c>
      <c r="E404" t="inlineStr">
        <is>
          <t>ÅTVIDABERG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31953-2022</t>
        </is>
      </c>
      <c r="B405" s="1" t="n">
        <v>44777</v>
      </c>
      <c r="C405" s="1" t="n">
        <v>45362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32069-2022</t>
        </is>
      </c>
      <c r="B406" s="1" t="n">
        <v>44778</v>
      </c>
      <c r="C406" s="1" t="n">
        <v>45362</v>
      </c>
      <c r="D406" t="inlineStr">
        <is>
          <t>ÖSTERGÖTLANDS LÄN</t>
        </is>
      </c>
      <c r="E406" t="inlineStr">
        <is>
          <t>ÅTVIDABERG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32066-2022</t>
        </is>
      </c>
      <c r="B407" s="1" t="n">
        <v>44778</v>
      </c>
      <c r="C407" s="1" t="n">
        <v>45362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32057-2022</t>
        </is>
      </c>
      <c r="B408" s="1" t="n">
        <v>44778</v>
      </c>
      <c r="C408" s="1" t="n">
        <v>45362</v>
      </c>
      <c r="D408" t="inlineStr">
        <is>
          <t>ÖSTERGÖTLANDS LÄN</t>
        </is>
      </c>
      <c r="E408" t="inlineStr">
        <is>
          <t>ÅTVIDABERG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HYPERLINK("https://klasma.github.io/Logging_0561/knärot/A 32057-2022 karta knärot.png", "A 32057-2022")</f>
        <v/>
      </c>
      <c r="V408">
        <f>HYPERLINK("https://klasma.github.io/Logging_0561/klagomål/A 32057-2022 FSC-klagomål.docx", "A 32057-2022")</f>
        <v/>
      </c>
      <c r="W408">
        <f>HYPERLINK("https://klasma.github.io/Logging_0561/klagomålsmail/A 32057-2022 FSC-klagomål mail.docx", "A 32057-2022")</f>
        <v/>
      </c>
      <c r="X408">
        <f>HYPERLINK("https://klasma.github.io/Logging_0561/tillsyn/A 32057-2022 tillsynsbegäran.docx", "A 32057-2022")</f>
        <v/>
      </c>
      <c r="Y408">
        <f>HYPERLINK("https://klasma.github.io/Logging_0561/tillsynsmail/A 32057-2022 tillsynsbegäran mail.docx", "A 32057-2022")</f>
        <v/>
      </c>
    </row>
    <row r="409" ht="15" customHeight="1">
      <c r="A409" t="inlineStr">
        <is>
          <t>A 32063-2022</t>
        </is>
      </c>
      <c r="B409" s="1" t="n">
        <v>44778</v>
      </c>
      <c r="C409" s="1" t="n">
        <v>45362</v>
      </c>
      <c r="D409" t="inlineStr">
        <is>
          <t>ÖSTERGÖTLANDS LÄN</t>
        </is>
      </c>
      <c r="E409" t="inlineStr">
        <is>
          <t>ÅTVIDABERG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32067-2022</t>
        </is>
      </c>
      <c r="B410" s="1" t="n">
        <v>44778</v>
      </c>
      <c r="C410" s="1" t="n">
        <v>45362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32060-2022</t>
        </is>
      </c>
      <c r="B411" s="1" t="n">
        <v>44778</v>
      </c>
      <c r="C411" s="1" t="n">
        <v>45362</v>
      </c>
      <c r="D411" t="inlineStr">
        <is>
          <t>ÖSTERGÖTLANDS LÄN</t>
        </is>
      </c>
      <c r="E411" t="inlineStr">
        <is>
          <t>ÅTVIDABERG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32416-2022</t>
        </is>
      </c>
      <c r="B412" s="1" t="n">
        <v>44782</v>
      </c>
      <c r="C412" s="1" t="n">
        <v>45362</v>
      </c>
      <c r="D412" t="inlineStr">
        <is>
          <t>ÖSTERGÖTLANDS LÄN</t>
        </is>
      </c>
      <c r="E412" t="inlineStr">
        <is>
          <t>ÅTVIDABERG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32575-2022</t>
        </is>
      </c>
      <c r="B413" s="1" t="n">
        <v>44783</v>
      </c>
      <c r="C413" s="1" t="n">
        <v>45362</v>
      </c>
      <c r="D413" t="inlineStr">
        <is>
          <t>ÖSTERGÖTLANDS LÄN</t>
        </is>
      </c>
      <c r="E413" t="inlineStr">
        <is>
          <t>ÅTVIDABERG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32953-2022</t>
        </is>
      </c>
      <c r="B414" s="1" t="n">
        <v>44784</v>
      </c>
      <c r="C414" s="1" t="n">
        <v>45362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32922-2022</t>
        </is>
      </c>
      <c r="B415" s="1" t="n">
        <v>44784</v>
      </c>
      <c r="C415" s="1" t="n">
        <v>45362</v>
      </c>
      <c r="D415" t="inlineStr">
        <is>
          <t>ÖSTERGÖTLANDS LÄN</t>
        </is>
      </c>
      <c r="E415" t="inlineStr">
        <is>
          <t>ÅTVIDABERG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32951-2022</t>
        </is>
      </c>
      <c r="B416" s="1" t="n">
        <v>44784</v>
      </c>
      <c r="C416" s="1" t="n">
        <v>45362</v>
      </c>
      <c r="D416" t="inlineStr">
        <is>
          <t>ÖSTERGÖTLANDS LÄN</t>
        </is>
      </c>
      <c r="E416" t="inlineStr">
        <is>
          <t>ÅTVIDABERG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33604-2022</t>
        </is>
      </c>
      <c r="B417" s="1" t="n">
        <v>44789</v>
      </c>
      <c r="C417" s="1" t="n">
        <v>45362</v>
      </c>
      <c r="D417" t="inlineStr">
        <is>
          <t>ÖSTERGÖTLANDS LÄN</t>
        </is>
      </c>
      <c r="E417" t="inlineStr">
        <is>
          <t>ÅTVIDABERG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33711-2022</t>
        </is>
      </c>
      <c r="B418" s="1" t="n">
        <v>44789</v>
      </c>
      <c r="C418" s="1" t="n">
        <v>45362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33718-2022</t>
        </is>
      </c>
      <c r="B419" s="1" t="n">
        <v>44789</v>
      </c>
      <c r="C419" s="1" t="n">
        <v>45362</v>
      </c>
      <c r="D419" t="inlineStr">
        <is>
          <t>ÖSTERGÖTLANDS LÄN</t>
        </is>
      </c>
      <c r="E419" t="inlineStr">
        <is>
          <t>ÅTVIDABERG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33714-2022</t>
        </is>
      </c>
      <c r="B420" s="1" t="n">
        <v>44789</v>
      </c>
      <c r="C420" s="1" t="n">
        <v>45362</v>
      </c>
      <c r="D420" t="inlineStr">
        <is>
          <t>ÖSTERGÖTLANDS LÄN</t>
        </is>
      </c>
      <c r="E420" t="inlineStr">
        <is>
          <t>ÅTVIDABERG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33710-2022</t>
        </is>
      </c>
      <c r="B421" s="1" t="n">
        <v>44789</v>
      </c>
      <c r="C421" s="1" t="n">
        <v>45362</v>
      </c>
      <c r="D421" t="inlineStr">
        <is>
          <t>ÖSTERGÖTLANDS LÄN</t>
        </is>
      </c>
      <c r="E421" t="inlineStr">
        <is>
          <t>ÅTVIDABERG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34063-2022</t>
        </is>
      </c>
      <c r="B422" s="1" t="n">
        <v>44791</v>
      </c>
      <c r="C422" s="1" t="n">
        <v>45362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34605-2022</t>
        </is>
      </c>
      <c r="B423" s="1" t="n">
        <v>44795</v>
      </c>
      <c r="C423" s="1" t="n">
        <v>45362</v>
      </c>
      <c r="D423" t="inlineStr">
        <is>
          <t>ÖSTERGÖTLANDS LÄN</t>
        </is>
      </c>
      <c r="E423" t="inlineStr">
        <is>
          <t>ÅTVIDABERG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HYPERLINK("https://klasma.github.io/Logging_0561/knärot/A 34605-2022 karta knärot.png", "A 34605-2022")</f>
        <v/>
      </c>
      <c r="V423">
        <f>HYPERLINK("https://klasma.github.io/Logging_0561/klagomål/A 34605-2022 FSC-klagomål.docx", "A 34605-2022")</f>
        <v/>
      </c>
      <c r="W423">
        <f>HYPERLINK("https://klasma.github.io/Logging_0561/klagomålsmail/A 34605-2022 FSC-klagomål mail.docx", "A 34605-2022")</f>
        <v/>
      </c>
      <c r="X423">
        <f>HYPERLINK("https://klasma.github.io/Logging_0561/tillsyn/A 34605-2022 tillsynsbegäran.docx", "A 34605-2022")</f>
        <v/>
      </c>
      <c r="Y423">
        <f>HYPERLINK("https://klasma.github.io/Logging_0561/tillsynsmail/A 34605-2022 tillsynsbegäran mail.docx", "A 34605-2022")</f>
        <v/>
      </c>
    </row>
    <row r="424" ht="15" customHeight="1">
      <c r="A424" t="inlineStr">
        <is>
          <t>A 34700-2022</t>
        </is>
      </c>
      <c r="B424" s="1" t="n">
        <v>44795</v>
      </c>
      <c r="C424" s="1" t="n">
        <v>45362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35205-2022</t>
        </is>
      </c>
      <c r="B425" s="1" t="n">
        <v>44797</v>
      </c>
      <c r="C425" s="1" t="n">
        <v>45362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36967-2022</t>
        </is>
      </c>
      <c r="B426" s="1" t="n">
        <v>44806</v>
      </c>
      <c r="C426" s="1" t="n">
        <v>45362</v>
      </c>
      <c r="D426" t="inlineStr">
        <is>
          <t>ÖSTERGÖTLANDS LÄN</t>
        </is>
      </c>
      <c r="E426" t="inlineStr">
        <is>
          <t>ÅTVIDABERG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36972-2022</t>
        </is>
      </c>
      <c r="B427" s="1" t="n">
        <v>44806</v>
      </c>
      <c r="C427" s="1" t="n">
        <v>45362</v>
      </c>
      <c r="D427" t="inlineStr">
        <is>
          <t>ÖSTERGÖTLANDS LÄN</t>
        </is>
      </c>
      <c r="E427" t="inlineStr">
        <is>
          <t>ÅTVIDABERG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37179-2022</t>
        </is>
      </c>
      <c r="B428" s="1" t="n">
        <v>44806</v>
      </c>
      <c r="C428" s="1" t="n">
        <v>45362</v>
      </c>
      <c r="D428" t="inlineStr">
        <is>
          <t>ÖSTERGÖTLANDS LÄN</t>
        </is>
      </c>
      <c r="E428" t="inlineStr">
        <is>
          <t>ÅTVIDABERG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38105-2022</t>
        </is>
      </c>
      <c r="B429" s="1" t="n">
        <v>44812</v>
      </c>
      <c r="C429" s="1" t="n">
        <v>45362</v>
      </c>
      <c r="D429" t="inlineStr">
        <is>
          <t>ÖSTERGÖTLANDS LÄN</t>
        </is>
      </c>
      <c r="E429" t="inlineStr">
        <is>
          <t>ÅTVIDABERG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38750-2022</t>
        </is>
      </c>
      <c r="B430" s="1" t="n">
        <v>44816</v>
      </c>
      <c r="C430" s="1" t="n">
        <v>45362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38740-2022</t>
        </is>
      </c>
      <c r="B431" s="1" t="n">
        <v>44816</v>
      </c>
      <c r="C431" s="1" t="n">
        <v>45362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39071-2022</t>
        </is>
      </c>
      <c r="B432" s="1" t="n">
        <v>44817</v>
      </c>
      <c r="C432" s="1" t="n">
        <v>45362</v>
      </c>
      <c r="D432" t="inlineStr">
        <is>
          <t>ÖSTERGÖTLANDS LÄN</t>
        </is>
      </c>
      <c r="E432" t="inlineStr">
        <is>
          <t>ÅTVIDABERG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41364-2022</t>
        </is>
      </c>
      <c r="B433" s="1" t="n">
        <v>44826</v>
      </c>
      <c r="C433" s="1" t="n">
        <v>45362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41577-2022</t>
        </is>
      </c>
      <c r="B434" s="1" t="n">
        <v>44827</v>
      </c>
      <c r="C434" s="1" t="n">
        <v>45362</v>
      </c>
      <c r="D434" t="inlineStr">
        <is>
          <t>ÖSTERGÖTLANDS LÄN</t>
        </is>
      </c>
      <c r="E434" t="inlineStr">
        <is>
          <t>ÅTVIDABERG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42059-2022</t>
        </is>
      </c>
      <c r="B435" s="1" t="n">
        <v>44830</v>
      </c>
      <c r="C435" s="1" t="n">
        <v>45362</v>
      </c>
      <c r="D435" t="inlineStr">
        <is>
          <t>ÖSTERGÖTLANDS LÄN</t>
        </is>
      </c>
      <c r="E435" t="inlineStr">
        <is>
          <t>ÅTVIDABERG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42316-2022</t>
        </is>
      </c>
      <c r="B436" s="1" t="n">
        <v>44831</v>
      </c>
      <c r="C436" s="1" t="n">
        <v>45362</v>
      </c>
      <c r="D436" t="inlineStr">
        <is>
          <t>ÖSTERGÖTLANDS LÄN</t>
        </is>
      </c>
      <c r="E436" t="inlineStr">
        <is>
          <t>ÅTVIDABERG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42609-2022</t>
        </is>
      </c>
      <c r="B437" s="1" t="n">
        <v>44831</v>
      </c>
      <c r="C437" s="1" t="n">
        <v>45362</v>
      </c>
      <c r="D437" t="inlineStr">
        <is>
          <t>ÖSTERGÖTLANDS LÄN</t>
        </is>
      </c>
      <c r="E437" t="inlineStr">
        <is>
          <t>ÅTVIDABERG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42670-2022</t>
        </is>
      </c>
      <c r="B438" s="1" t="n">
        <v>44832</v>
      </c>
      <c r="C438" s="1" t="n">
        <v>45362</v>
      </c>
      <c r="D438" t="inlineStr">
        <is>
          <t>ÖSTERGÖTLANDS LÄN</t>
        </is>
      </c>
      <c r="E438" t="inlineStr">
        <is>
          <t>ÅTVIDABERG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43056-2022</t>
        </is>
      </c>
      <c r="B439" s="1" t="n">
        <v>44833</v>
      </c>
      <c r="C439" s="1" t="n">
        <v>45362</v>
      </c>
      <c r="D439" t="inlineStr">
        <is>
          <t>ÖSTERGÖTLANDS LÄN</t>
        </is>
      </c>
      <c r="E439" t="inlineStr">
        <is>
          <t>ÅTVIDABERG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43058-2022</t>
        </is>
      </c>
      <c r="B440" s="1" t="n">
        <v>44833</v>
      </c>
      <c r="C440" s="1" t="n">
        <v>45362</v>
      </c>
      <c r="D440" t="inlineStr">
        <is>
          <t>ÖSTERGÖTLANDS LÄN</t>
        </is>
      </c>
      <c r="E440" t="inlineStr">
        <is>
          <t>ÅTVIDABERG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43808-2022</t>
        </is>
      </c>
      <c r="B441" s="1" t="n">
        <v>44838</v>
      </c>
      <c r="C441" s="1" t="n">
        <v>45362</v>
      </c>
      <c r="D441" t="inlineStr">
        <is>
          <t>ÖSTERGÖTLANDS LÄN</t>
        </is>
      </c>
      <c r="E441" t="inlineStr">
        <is>
          <t>ÅTVIDABERG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43805-2022</t>
        </is>
      </c>
      <c r="B442" s="1" t="n">
        <v>44838</v>
      </c>
      <c r="C442" s="1" t="n">
        <v>45362</v>
      </c>
      <c r="D442" t="inlineStr">
        <is>
          <t>ÖSTERGÖTLANDS LÄN</t>
        </is>
      </c>
      <c r="E442" t="inlineStr">
        <is>
          <t>ÅTVIDABERG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43807-2022</t>
        </is>
      </c>
      <c r="B443" s="1" t="n">
        <v>44838</v>
      </c>
      <c r="C443" s="1" t="n">
        <v>45362</v>
      </c>
      <c r="D443" t="inlineStr">
        <is>
          <t>ÖSTERGÖTLANDS LÄN</t>
        </is>
      </c>
      <c r="E443" t="inlineStr">
        <is>
          <t>ÅTVIDABERG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44256-2022</t>
        </is>
      </c>
      <c r="B444" s="1" t="n">
        <v>44839</v>
      </c>
      <c r="C444" s="1" t="n">
        <v>45362</v>
      </c>
      <c r="D444" t="inlineStr">
        <is>
          <t>ÖSTERGÖTLANDS LÄN</t>
        </is>
      </c>
      <c r="E444" t="inlineStr">
        <is>
          <t>ÅTVIDABERG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44819-2022</t>
        </is>
      </c>
      <c r="B445" s="1" t="n">
        <v>44841</v>
      </c>
      <c r="C445" s="1" t="n">
        <v>45362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45537-2022</t>
        </is>
      </c>
      <c r="B446" s="1" t="n">
        <v>44845</v>
      </c>
      <c r="C446" s="1" t="n">
        <v>45362</v>
      </c>
      <c r="D446" t="inlineStr">
        <is>
          <t>ÖSTERGÖTLANDS LÄN</t>
        </is>
      </c>
      <c r="E446" t="inlineStr">
        <is>
          <t>ÅTVIDABERG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45996-2022</t>
        </is>
      </c>
      <c r="B447" s="1" t="n">
        <v>44846</v>
      </c>
      <c r="C447" s="1" t="n">
        <v>45362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46260-2022</t>
        </is>
      </c>
      <c r="B448" s="1" t="n">
        <v>44847</v>
      </c>
      <c r="C448" s="1" t="n">
        <v>45362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46788-2022</t>
        </is>
      </c>
      <c r="B449" s="1" t="n">
        <v>44851</v>
      </c>
      <c r="C449" s="1" t="n">
        <v>45362</v>
      </c>
      <c r="D449" t="inlineStr">
        <is>
          <t>ÖSTERGÖTLANDS LÄN</t>
        </is>
      </c>
      <c r="E449" t="inlineStr">
        <is>
          <t>ÅTVIDABERG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46903-2022</t>
        </is>
      </c>
      <c r="B450" s="1" t="n">
        <v>44851</v>
      </c>
      <c r="C450" s="1" t="n">
        <v>45362</v>
      </c>
      <c r="D450" t="inlineStr">
        <is>
          <t>ÖSTERGÖTLANDS LÄN</t>
        </is>
      </c>
      <c r="E450" t="inlineStr">
        <is>
          <t>ÅTVIDABERG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46748-2022</t>
        </is>
      </c>
      <c r="B451" s="1" t="n">
        <v>44851</v>
      </c>
      <c r="C451" s="1" t="n">
        <v>45362</v>
      </c>
      <c r="D451" t="inlineStr">
        <is>
          <t>ÖSTERGÖTLANDS LÄN</t>
        </is>
      </c>
      <c r="E451" t="inlineStr">
        <is>
          <t>ÅTVIDABERG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46793-2022</t>
        </is>
      </c>
      <c r="B452" s="1" t="n">
        <v>44851</v>
      </c>
      <c r="C452" s="1" t="n">
        <v>45362</v>
      </c>
      <c r="D452" t="inlineStr">
        <is>
          <t>ÖSTERGÖTLANDS LÄN</t>
        </is>
      </c>
      <c r="E452" t="inlineStr">
        <is>
          <t>ÅTVIDABERG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47832-2022</t>
        </is>
      </c>
      <c r="B453" s="1" t="n">
        <v>44855</v>
      </c>
      <c r="C453" s="1" t="n">
        <v>45362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49229-2022</t>
        </is>
      </c>
      <c r="B454" s="1" t="n">
        <v>44858</v>
      </c>
      <c r="C454" s="1" t="n">
        <v>45362</v>
      </c>
      <c r="D454" t="inlineStr">
        <is>
          <t>ÖSTERGÖTLANDS LÄN</t>
        </is>
      </c>
      <c r="E454" t="inlineStr">
        <is>
          <t>ÅTVIDABERG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48977-2022</t>
        </is>
      </c>
      <c r="B455" s="1" t="n">
        <v>44860</v>
      </c>
      <c r="C455" s="1" t="n">
        <v>45362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49372-2022</t>
        </is>
      </c>
      <c r="B456" s="1" t="n">
        <v>44861</v>
      </c>
      <c r="C456" s="1" t="n">
        <v>45362</v>
      </c>
      <c r="D456" t="inlineStr">
        <is>
          <t>ÖSTERGÖTLANDS LÄN</t>
        </is>
      </c>
      <c r="E456" t="inlineStr">
        <is>
          <t>ÅTVIDABERG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50782-2022</t>
        </is>
      </c>
      <c r="B457" s="1" t="n">
        <v>44862</v>
      </c>
      <c r="C457" s="1" t="n">
        <v>45362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statliga verk och myndigheter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50756-2022</t>
        </is>
      </c>
      <c r="B458" s="1" t="n">
        <v>44862</v>
      </c>
      <c r="C458" s="1" t="n">
        <v>45362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statliga verk och myndigheter</t>
        </is>
      </c>
      <c r="G458" t="n">
        <v>15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50190-2022</t>
        </is>
      </c>
      <c r="B459" s="1" t="n">
        <v>44865</v>
      </c>
      <c r="C459" s="1" t="n">
        <v>45362</v>
      </c>
      <c r="D459" t="inlineStr">
        <is>
          <t>ÖSTERGÖTLANDS LÄN</t>
        </is>
      </c>
      <c r="E459" t="inlineStr">
        <is>
          <t>ÅTVIDABERG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51157-2022</t>
        </is>
      </c>
      <c r="B460" s="1" t="n">
        <v>44868</v>
      </c>
      <c r="C460" s="1" t="n">
        <v>45362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51633-2022</t>
        </is>
      </c>
      <c r="B461" s="1" t="n">
        <v>44872</v>
      </c>
      <c r="C461" s="1" t="n">
        <v>45362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Holmen skog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53189-2022</t>
        </is>
      </c>
      <c r="B462" s="1" t="n">
        <v>44874</v>
      </c>
      <c r="C462" s="1" t="n">
        <v>45362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53193-2022</t>
        </is>
      </c>
      <c r="B463" s="1" t="n">
        <v>44874</v>
      </c>
      <c r="C463" s="1" t="n">
        <v>45362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53168-2022</t>
        </is>
      </c>
      <c r="B464" s="1" t="n">
        <v>44874</v>
      </c>
      <c r="C464" s="1" t="n">
        <v>45362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53196-2022</t>
        </is>
      </c>
      <c r="B465" s="1" t="n">
        <v>44874</v>
      </c>
      <c r="C465" s="1" t="n">
        <v>45362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Övriga Aktiebolag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53234-2022</t>
        </is>
      </c>
      <c r="B466" s="1" t="n">
        <v>44876</v>
      </c>
      <c r="C466" s="1" t="n">
        <v>45362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53621-2022</t>
        </is>
      </c>
      <c r="B467" s="1" t="n">
        <v>44879</v>
      </c>
      <c r="C467" s="1" t="n">
        <v>45362</v>
      </c>
      <c r="D467" t="inlineStr">
        <is>
          <t>ÖSTERGÖTLANDS LÄN</t>
        </is>
      </c>
      <c r="E467" t="inlineStr">
        <is>
          <t>ÅTVIDABERG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53625-2022</t>
        </is>
      </c>
      <c r="B468" s="1" t="n">
        <v>44879</v>
      </c>
      <c r="C468" s="1" t="n">
        <v>45362</v>
      </c>
      <c r="D468" t="inlineStr">
        <is>
          <t>ÖSTERGÖTLANDS LÄN</t>
        </is>
      </c>
      <c r="E468" t="inlineStr">
        <is>
          <t>ÅTVIDABERG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53842-2022</t>
        </is>
      </c>
      <c r="B469" s="1" t="n">
        <v>44880</v>
      </c>
      <c r="C469" s="1" t="n">
        <v>45362</v>
      </c>
      <c r="D469" t="inlineStr">
        <is>
          <t>ÖSTERGÖTLANDS LÄN</t>
        </is>
      </c>
      <c r="E469" t="inlineStr">
        <is>
          <t>ÅTVIDABERG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53992-2022</t>
        </is>
      </c>
      <c r="B470" s="1" t="n">
        <v>44881</v>
      </c>
      <c r="C470" s="1" t="n">
        <v>45362</v>
      </c>
      <c r="D470" t="inlineStr">
        <is>
          <t>ÖSTERGÖTLANDS LÄN</t>
        </is>
      </c>
      <c r="E470" t="inlineStr">
        <is>
          <t>ÅTVIDABERG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55702-2022</t>
        </is>
      </c>
      <c r="B471" s="1" t="n">
        <v>44888</v>
      </c>
      <c r="C471" s="1" t="n">
        <v>45362</v>
      </c>
      <c r="D471" t="inlineStr">
        <is>
          <t>ÖSTERGÖTLANDS LÄN</t>
        </is>
      </c>
      <c r="E471" t="inlineStr">
        <is>
          <t>ÅTVIDABERG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57029-2022</t>
        </is>
      </c>
      <c r="B472" s="1" t="n">
        <v>44895</v>
      </c>
      <c r="C472" s="1" t="n">
        <v>45362</v>
      </c>
      <c r="D472" t="inlineStr">
        <is>
          <t>ÖSTERGÖTLANDS LÄN</t>
        </is>
      </c>
      <c r="E472" t="inlineStr">
        <is>
          <t>ÅTVIDABERG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57657-2022</t>
        </is>
      </c>
      <c r="B473" s="1" t="n">
        <v>44897</v>
      </c>
      <c r="C473" s="1" t="n">
        <v>45362</v>
      </c>
      <c r="D473" t="inlineStr">
        <is>
          <t>ÖSTERGÖTLANDS LÄN</t>
        </is>
      </c>
      <c r="E473" t="inlineStr">
        <is>
          <t>ÅTVIDABERG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58564-2022</t>
        </is>
      </c>
      <c r="B474" s="1" t="n">
        <v>44902</v>
      </c>
      <c r="C474" s="1" t="n">
        <v>45362</v>
      </c>
      <c r="D474" t="inlineStr">
        <is>
          <t>ÖSTERGÖTLANDS LÄN</t>
        </is>
      </c>
      <c r="E474" t="inlineStr">
        <is>
          <t>ÅTVIDABERG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58563-2022</t>
        </is>
      </c>
      <c r="B475" s="1" t="n">
        <v>44902</v>
      </c>
      <c r="C475" s="1" t="n">
        <v>45362</v>
      </c>
      <c r="D475" t="inlineStr">
        <is>
          <t>ÖSTERGÖTLANDS LÄN</t>
        </is>
      </c>
      <c r="E475" t="inlineStr">
        <is>
          <t>ÅTVIDABERG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61182-2022</t>
        </is>
      </c>
      <c r="B476" s="1" t="n">
        <v>44915</v>
      </c>
      <c r="C476" s="1" t="n">
        <v>45362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61670-2022</t>
        </is>
      </c>
      <c r="B477" s="1" t="n">
        <v>44917</v>
      </c>
      <c r="C477" s="1" t="n">
        <v>45362</v>
      </c>
      <c r="D477" t="inlineStr">
        <is>
          <t>ÖSTERGÖTLANDS LÄN</t>
        </is>
      </c>
      <c r="E477" t="inlineStr">
        <is>
          <t>ÅTVIDABERG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62236-2022</t>
        </is>
      </c>
      <c r="B478" s="1" t="n">
        <v>44922</v>
      </c>
      <c r="C478" s="1" t="n">
        <v>45362</v>
      </c>
      <c r="D478" t="inlineStr">
        <is>
          <t>ÖSTERGÖTLANDS LÄN</t>
        </is>
      </c>
      <c r="E478" t="inlineStr">
        <is>
          <t>ÅTVIDABERG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62387-2022</t>
        </is>
      </c>
      <c r="B479" s="1" t="n">
        <v>44923</v>
      </c>
      <c r="C479" s="1" t="n">
        <v>45362</v>
      </c>
      <c r="D479" t="inlineStr">
        <is>
          <t>ÖSTERGÖTLANDS LÄN</t>
        </is>
      </c>
      <c r="E479" t="inlineStr">
        <is>
          <t>ÅTVIDABERG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62389-2022</t>
        </is>
      </c>
      <c r="B480" s="1" t="n">
        <v>44923</v>
      </c>
      <c r="C480" s="1" t="n">
        <v>45362</v>
      </c>
      <c r="D480" t="inlineStr">
        <is>
          <t>ÖSTERGÖTLANDS LÄN</t>
        </is>
      </c>
      <c r="E480" t="inlineStr">
        <is>
          <t>ÅTVIDABERG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450-2023</t>
        </is>
      </c>
      <c r="B481" s="1" t="n">
        <v>44929</v>
      </c>
      <c r="C481" s="1" t="n">
        <v>45362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668-2023</t>
        </is>
      </c>
      <c r="B482" s="1" t="n">
        <v>44930</v>
      </c>
      <c r="C482" s="1" t="n">
        <v>45362</v>
      </c>
      <c r="D482" t="inlineStr">
        <is>
          <t>ÖSTERGÖTLANDS LÄN</t>
        </is>
      </c>
      <c r="E482" t="inlineStr">
        <is>
          <t>ÅTVIDABERG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736-2023</t>
        </is>
      </c>
      <c r="B483" s="1" t="n">
        <v>44931</v>
      </c>
      <c r="C483" s="1" t="n">
        <v>45362</v>
      </c>
      <c r="D483" t="inlineStr">
        <is>
          <t>ÖSTERGÖTLANDS LÄN</t>
        </is>
      </c>
      <c r="E483" t="inlineStr">
        <is>
          <t>ÅTVIDABERG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743-2023</t>
        </is>
      </c>
      <c r="B484" s="1" t="n">
        <v>44931</v>
      </c>
      <c r="C484" s="1" t="n">
        <v>45362</v>
      </c>
      <c r="D484" t="inlineStr">
        <is>
          <t>ÖSTERGÖTLANDS LÄN</t>
        </is>
      </c>
      <c r="E484" t="inlineStr">
        <is>
          <t>ÅTVIDABERG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1022-2023</t>
        </is>
      </c>
      <c r="B485" s="1" t="n">
        <v>44935</v>
      </c>
      <c r="C485" s="1" t="n">
        <v>45362</v>
      </c>
      <c r="D485" t="inlineStr">
        <is>
          <t>ÖSTERGÖTLANDS LÄN</t>
        </is>
      </c>
      <c r="E485" t="inlineStr">
        <is>
          <t>ÅTVIDABERG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1008-2023</t>
        </is>
      </c>
      <c r="B486" s="1" t="n">
        <v>44935</v>
      </c>
      <c r="C486" s="1" t="n">
        <v>45362</v>
      </c>
      <c r="D486" t="inlineStr">
        <is>
          <t>ÖSTERGÖTLANDS LÄN</t>
        </is>
      </c>
      <c r="E486" t="inlineStr">
        <is>
          <t>ÅTVIDABERG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1016-2023</t>
        </is>
      </c>
      <c r="B487" s="1" t="n">
        <v>44935</v>
      </c>
      <c r="C487" s="1" t="n">
        <v>45362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1027-2023</t>
        </is>
      </c>
      <c r="B488" s="1" t="n">
        <v>44935</v>
      </c>
      <c r="C488" s="1" t="n">
        <v>45362</v>
      </c>
      <c r="D488" t="inlineStr">
        <is>
          <t>ÖSTERGÖTLANDS LÄN</t>
        </is>
      </c>
      <c r="E488" t="inlineStr">
        <is>
          <t>ÅTVIDABERG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1121-2023</t>
        </is>
      </c>
      <c r="B489" s="1" t="n">
        <v>44935</v>
      </c>
      <c r="C489" s="1" t="n">
        <v>45362</v>
      </c>
      <c r="D489" t="inlineStr">
        <is>
          <t>ÖSTERGÖTLANDS LÄN</t>
        </is>
      </c>
      <c r="E489" t="inlineStr">
        <is>
          <t>ÅTVIDABERG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1179-2023</t>
        </is>
      </c>
      <c r="B490" s="1" t="n">
        <v>44935</v>
      </c>
      <c r="C490" s="1" t="n">
        <v>45362</v>
      </c>
      <c r="D490" t="inlineStr">
        <is>
          <t>ÖSTERGÖTLANDS LÄN</t>
        </is>
      </c>
      <c r="E490" t="inlineStr">
        <is>
          <t>ÅTVIDABERG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1422-2023</t>
        </is>
      </c>
      <c r="B491" s="1" t="n">
        <v>44937</v>
      </c>
      <c r="C491" s="1" t="n">
        <v>45362</v>
      </c>
      <c r="D491" t="inlineStr">
        <is>
          <t>ÖSTERGÖTLANDS LÄN</t>
        </is>
      </c>
      <c r="E491" t="inlineStr">
        <is>
          <t>ÅTVIDABERG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1680-2023</t>
        </is>
      </c>
      <c r="B492" s="1" t="n">
        <v>44938</v>
      </c>
      <c r="C492" s="1" t="n">
        <v>45362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1710-2023</t>
        </is>
      </c>
      <c r="B493" s="1" t="n">
        <v>44938</v>
      </c>
      <c r="C493" s="1" t="n">
        <v>45362</v>
      </c>
      <c r="D493" t="inlineStr">
        <is>
          <t>ÖSTERGÖTLANDS LÄN</t>
        </is>
      </c>
      <c r="E493" t="inlineStr">
        <is>
          <t>ÅTVIDABERG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1678-2023</t>
        </is>
      </c>
      <c r="B494" s="1" t="n">
        <v>44938</v>
      </c>
      <c r="C494" s="1" t="n">
        <v>45362</v>
      </c>
      <c r="D494" t="inlineStr">
        <is>
          <t>ÖSTERGÖTLANDS LÄN</t>
        </is>
      </c>
      <c r="E494" t="inlineStr">
        <is>
          <t>ÅTVIDABERG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1722-2023</t>
        </is>
      </c>
      <c r="B495" s="1" t="n">
        <v>44938</v>
      </c>
      <c r="C495" s="1" t="n">
        <v>45362</v>
      </c>
      <c r="D495" t="inlineStr">
        <is>
          <t>ÖSTERGÖTLANDS LÄN</t>
        </is>
      </c>
      <c r="E495" t="inlineStr">
        <is>
          <t>ÅTVIDABERG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2176-2023</t>
        </is>
      </c>
      <c r="B496" s="1" t="n">
        <v>44942</v>
      </c>
      <c r="C496" s="1" t="n">
        <v>45362</v>
      </c>
      <c r="D496" t="inlineStr">
        <is>
          <t>ÖSTERGÖTLANDS LÄN</t>
        </is>
      </c>
      <c r="E496" t="inlineStr">
        <is>
          <t>ÅTVIDABERG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2178-2023</t>
        </is>
      </c>
      <c r="B497" s="1" t="n">
        <v>44942</v>
      </c>
      <c r="C497" s="1" t="n">
        <v>45362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3388-2023</t>
        </is>
      </c>
      <c r="B498" s="1" t="n">
        <v>44949</v>
      </c>
      <c r="C498" s="1" t="n">
        <v>45362</v>
      </c>
      <c r="D498" t="inlineStr">
        <is>
          <t>ÖSTERGÖTLANDS LÄN</t>
        </is>
      </c>
      <c r="E498" t="inlineStr">
        <is>
          <t>ÅTVIDABERG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4089-2023</t>
        </is>
      </c>
      <c r="B499" s="1" t="n">
        <v>44952</v>
      </c>
      <c r="C499" s="1" t="n">
        <v>45362</v>
      </c>
      <c r="D499" t="inlineStr">
        <is>
          <t>ÖSTERGÖTLANDS LÄN</t>
        </is>
      </c>
      <c r="E499" t="inlineStr">
        <is>
          <t>ÅTVIDABERG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4094-2023</t>
        </is>
      </c>
      <c r="B500" s="1" t="n">
        <v>44952</v>
      </c>
      <c r="C500" s="1" t="n">
        <v>45362</v>
      </c>
      <c r="D500" t="inlineStr">
        <is>
          <t>ÖSTERGÖTLANDS LÄN</t>
        </is>
      </c>
      <c r="E500" t="inlineStr">
        <is>
          <t>ÅTVIDABERG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4091-2023</t>
        </is>
      </c>
      <c r="B501" s="1" t="n">
        <v>44952</v>
      </c>
      <c r="C501" s="1" t="n">
        <v>45362</v>
      </c>
      <c r="D501" t="inlineStr">
        <is>
          <t>ÖSTERGÖTLANDS LÄN</t>
        </is>
      </c>
      <c r="E501" t="inlineStr">
        <is>
          <t>ÅTVIDABERG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6220-2023</t>
        </is>
      </c>
      <c r="B502" s="1" t="n">
        <v>44964</v>
      </c>
      <c r="C502" s="1" t="n">
        <v>45362</v>
      </c>
      <c r="D502" t="inlineStr">
        <is>
          <t>ÖSTERGÖTLANDS LÄN</t>
        </is>
      </c>
      <c r="E502" t="inlineStr">
        <is>
          <t>ÅTVIDABERG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6221-2023</t>
        </is>
      </c>
      <c r="B503" s="1" t="n">
        <v>44964</v>
      </c>
      <c r="C503" s="1" t="n">
        <v>45362</v>
      </c>
      <c r="D503" t="inlineStr">
        <is>
          <t>ÖSTERGÖTLANDS LÄN</t>
        </is>
      </c>
      <c r="E503" t="inlineStr">
        <is>
          <t>ÅTVIDABERG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6226-2023</t>
        </is>
      </c>
      <c r="B504" s="1" t="n">
        <v>44964</v>
      </c>
      <c r="C504" s="1" t="n">
        <v>45362</v>
      </c>
      <c r="D504" t="inlineStr">
        <is>
          <t>ÖSTERGÖTLANDS LÄN</t>
        </is>
      </c>
      <c r="E504" t="inlineStr">
        <is>
          <t>ÅTVIDABERG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6372-2023</t>
        </is>
      </c>
      <c r="B505" s="1" t="n">
        <v>44965</v>
      </c>
      <c r="C505" s="1" t="n">
        <v>45362</v>
      </c>
      <c r="D505" t="inlineStr">
        <is>
          <t>ÖSTERGÖTLANDS LÄN</t>
        </is>
      </c>
      <c r="E505" t="inlineStr">
        <is>
          <t>ÅTVIDABERG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6884-2023</t>
        </is>
      </c>
      <c r="B506" s="1" t="n">
        <v>44967</v>
      </c>
      <c r="C506" s="1" t="n">
        <v>45362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7169-2023</t>
        </is>
      </c>
      <c r="B507" s="1" t="n">
        <v>44970</v>
      </c>
      <c r="C507" s="1" t="n">
        <v>45362</v>
      </c>
      <c r="D507" t="inlineStr">
        <is>
          <t>ÖSTERGÖTLANDS LÄN</t>
        </is>
      </c>
      <c r="E507" t="inlineStr">
        <is>
          <t>ÅTVIDABERG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7609-2023</t>
        </is>
      </c>
      <c r="B508" s="1" t="n">
        <v>44972</v>
      </c>
      <c r="C508" s="1" t="n">
        <v>45362</v>
      </c>
      <c r="D508" t="inlineStr">
        <is>
          <t>ÖSTERGÖTLANDS LÄN</t>
        </is>
      </c>
      <c r="E508" t="inlineStr">
        <is>
          <t>ÅTVIDABERG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7971-2023</t>
        </is>
      </c>
      <c r="B509" s="1" t="n">
        <v>44973</v>
      </c>
      <c r="C509" s="1" t="n">
        <v>45362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7976-2023</t>
        </is>
      </c>
      <c r="B510" s="1" t="n">
        <v>44973</v>
      </c>
      <c r="C510" s="1" t="n">
        <v>45362</v>
      </c>
      <c r="D510" t="inlineStr">
        <is>
          <t>ÖSTERGÖTLANDS LÄN</t>
        </is>
      </c>
      <c r="E510" t="inlineStr">
        <is>
          <t>ÅTVIDABERG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9256-2023</t>
        </is>
      </c>
      <c r="B511" s="1" t="n">
        <v>44980</v>
      </c>
      <c r="C511" s="1" t="n">
        <v>45362</v>
      </c>
      <c r="D511" t="inlineStr">
        <is>
          <t>ÖSTERGÖTLANDS LÄN</t>
        </is>
      </c>
      <c r="E511" t="inlineStr">
        <is>
          <t>ÅTVIDABERG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10661-2023</t>
        </is>
      </c>
      <c r="B512" s="1" t="n">
        <v>44988</v>
      </c>
      <c r="C512" s="1" t="n">
        <v>45362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Övriga Aktiebolag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10690-2023</t>
        </is>
      </c>
      <c r="B513" s="1" t="n">
        <v>44988</v>
      </c>
      <c r="C513" s="1" t="n">
        <v>45362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10717-2023</t>
        </is>
      </c>
      <c r="B514" s="1" t="n">
        <v>44988</v>
      </c>
      <c r="C514" s="1" t="n">
        <v>45362</v>
      </c>
      <c r="D514" t="inlineStr">
        <is>
          <t>ÖSTERGÖTLANDS LÄN</t>
        </is>
      </c>
      <c r="E514" t="inlineStr">
        <is>
          <t>ÅTVIDABERG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10732-2023</t>
        </is>
      </c>
      <c r="B515" s="1" t="n">
        <v>44988</v>
      </c>
      <c r="C515" s="1" t="n">
        <v>45362</v>
      </c>
      <c r="D515" t="inlineStr">
        <is>
          <t>ÖSTERGÖTLANDS LÄN</t>
        </is>
      </c>
      <c r="E515" t="inlineStr">
        <is>
          <t>ÅTVIDABERG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10739-2023</t>
        </is>
      </c>
      <c r="B516" s="1" t="n">
        <v>44988</v>
      </c>
      <c r="C516" s="1" t="n">
        <v>45362</v>
      </c>
      <c r="D516" t="inlineStr">
        <is>
          <t>ÖSTERGÖTLANDS LÄN</t>
        </is>
      </c>
      <c r="E516" t="inlineStr">
        <is>
          <t>ÅTVIDABERG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10799-2023</t>
        </is>
      </c>
      <c r="B517" s="1" t="n">
        <v>44989</v>
      </c>
      <c r="C517" s="1" t="n">
        <v>45362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11025-2023</t>
        </is>
      </c>
      <c r="B518" s="1" t="n">
        <v>44991</v>
      </c>
      <c r="C518" s="1" t="n">
        <v>45362</v>
      </c>
      <c r="D518" t="inlineStr">
        <is>
          <t>ÖSTERGÖTLANDS LÄN</t>
        </is>
      </c>
      <c r="E518" t="inlineStr">
        <is>
          <t>ÅTVIDABERG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11576-2023</t>
        </is>
      </c>
      <c r="B519" s="1" t="n">
        <v>44994</v>
      </c>
      <c r="C519" s="1" t="n">
        <v>45362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11766-2023</t>
        </is>
      </c>
      <c r="B520" s="1" t="n">
        <v>44994</v>
      </c>
      <c r="C520" s="1" t="n">
        <v>45362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11882-2023</t>
        </is>
      </c>
      <c r="B521" s="1" t="n">
        <v>44995</v>
      </c>
      <c r="C521" s="1" t="n">
        <v>45362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11858-2023</t>
        </is>
      </c>
      <c r="B522" s="1" t="n">
        <v>44995</v>
      </c>
      <c r="C522" s="1" t="n">
        <v>45362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12967-2023</t>
        </is>
      </c>
      <c r="B523" s="1" t="n">
        <v>45001</v>
      </c>
      <c r="C523" s="1" t="n">
        <v>45362</v>
      </c>
      <c r="D523" t="inlineStr">
        <is>
          <t>ÖSTERGÖTLANDS LÄN</t>
        </is>
      </c>
      <c r="E523" t="inlineStr">
        <is>
          <t>ÅTVIDABERG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12969-2023</t>
        </is>
      </c>
      <c r="B524" s="1" t="n">
        <v>45001</v>
      </c>
      <c r="C524" s="1" t="n">
        <v>45362</v>
      </c>
      <c r="D524" t="inlineStr">
        <is>
          <t>ÖSTERGÖTLANDS LÄN</t>
        </is>
      </c>
      <c r="E524" t="inlineStr">
        <is>
          <t>ÅTVIDABERG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12970-2023</t>
        </is>
      </c>
      <c r="B525" s="1" t="n">
        <v>45001</v>
      </c>
      <c r="C525" s="1" t="n">
        <v>45362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13711-2023</t>
        </is>
      </c>
      <c r="B526" s="1" t="n">
        <v>45007</v>
      </c>
      <c r="C526" s="1" t="n">
        <v>45362</v>
      </c>
      <c r="D526" t="inlineStr">
        <is>
          <t>ÖSTERGÖTLANDS LÄN</t>
        </is>
      </c>
      <c r="E526" t="inlineStr">
        <is>
          <t>ÅTVIDABERG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14054-2023</t>
        </is>
      </c>
      <c r="B527" s="1" t="n">
        <v>45008</v>
      </c>
      <c r="C527" s="1" t="n">
        <v>45362</v>
      </c>
      <c r="D527" t="inlineStr">
        <is>
          <t>ÖSTERGÖTLANDS LÄN</t>
        </is>
      </c>
      <c r="E527" t="inlineStr">
        <is>
          <t>ÅTVIDABERG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15039-2023</t>
        </is>
      </c>
      <c r="B528" s="1" t="n">
        <v>45015</v>
      </c>
      <c r="C528" s="1" t="n">
        <v>45362</v>
      </c>
      <c r="D528" t="inlineStr">
        <is>
          <t>ÖSTERGÖTLANDS LÄN</t>
        </is>
      </c>
      <c r="E528" t="inlineStr">
        <is>
          <t>ÅTVIDABERG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15038-2023</t>
        </is>
      </c>
      <c r="B529" s="1" t="n">
        <v>45015</v>
      </c>
      <c r="C529" s="1" t="n">
        <v>45362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15672-2023</t>
        </is>
      </c>
      <c r="B530" s="1" t="n">
        <v>45020</v>
      </c>
      <c r="C530" s="1" t="n">
        <v>45362</v>
      </c>
      <c r="D530" t="inlineStr">
        <is>
          <t>ÖSTERGÖTLANDS LÄN</t>
        </is>
      </c>
      <c r="E530" t="inlineStr">
        <is>
          <t>ÅTVIDABERG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15638-2023</t>
        </is>
      </c>
      <c r="B531" s="1" t="n">
        <v>45021</v>
      </c>
      <c r="C531" s="1" t="n">
        <v>45362</v>
      </c>
      <c r="D531" t="inlineStr">
        <is>
          <t>ÖSTERGÖTLANDS LÄN</t>
        </is>
      </c>
      <c r="E531" t="inlineStr">
        <is>
          <t>ÅTVIDABERG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15911-2023</t>
        </is>
      </c>
      <c r="B532" s="1" t="n">
        <v>45022</v>
      </c>
      <c r="C532" s="1" t="n">
        <v>45362</v>
      </c>
      <c r="D532" t="inlineStr">
        <is>
          <t>ÖSTERGÖTLANDS LÄN</t>
        </is>
      </c>
      <c r="E532" t="inlineStr">
        <is>
          <t>ÅTVIDABERG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15913-2023</t>
        </is>
      </c>
      <c r="B533" s="1" t="n">
        <v>45022</v>
      </c>
      <c r="C533" s="1" t="n">
        <v>45362</v>
      </c>
      <c r="D533" t="inlineStr">
        <is>
          <t>ÖSTERGÖTLANDS LÄN</t>
        </is>
      </c>
      <c r="E533" t="inlineStr">
        <is>
          <t>ÅTVIDABERG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17542-2023</t>
        </is>
      </c>
      <c r="B534" s="1" t="n">
        <v>45036</v>
      </c>
      <c r="C534" s="1" t="n">
        <v>45362</v>
      </c>
      <c r="D534" t="inlineStr">
        <is>
          <t>ÖSTERGÖTLANDS LÄN</t>
        </is>
      </c>
      <c r="E534" t="inlineStr">
        <is>
          <t>ÅTVIDABERG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18004-2023</t>
        </is>
      </c>
      <c r="B535" s="1" t="n">
        <v>45040</v>
      </c>
      <c r="C535" s="1" t="n">
        <v>45362</v>
      </c>
      <c r="D535" t="inlineStr">
        <is>
          <t>ÖSTERGÖTLANDS LÄN</t>
        </is>
      </c>
      <c r="E535" t="inlineStr">
        <is>
          <t>ÅTVIDABERG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18005-2023</t>
        </is>
      </c>
      <c r="B536" s="1" t="n">
        <v>45040</v>
      </c>
      <c r="C536" s="1" t="n">
        <v>45362</v>
      </c>
      <c r="D536" t="inlineStr">
        <is>
          <t>ÖSTERGÖTLANDS LÄN</t>
        </is>
      </c>
      <c r="E536" t="inlineStr">
        <is>
          <t>ÅTVIDABERG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18485-2023</t>
        </is>
      </c>
      <c r="B537" s="1" t="n">
        <v>45042</v>
      </c>
      <c r="C537" s="1" t="n">
        <v>45362</v>
      </c>
      <c r="D537" t="inlineStr">
        <is>
          <t>ÖSTERGÖTLANDS LÄN</t>
        </is>
      </c>
      <c r="E537" t="inlineStr">
        <is>
          <t>ÅTVIDABERG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18518-2023</t>
        </is>
      </c>
      <c r="B538" s="1" t="n">
        <v>45042</v>
      </c>
      <c r="C538" s="1" t="n">
        <v>45362</v>
      </c>
      <c r="D538" t="inlineStr">
        <is>
          <t>ÖSTERGÖTLANDS LÄN</t>
        </is>
      </c>
      <c r="E538" t="inlineStr">
        <is>
          <t>ÅTVIDABERG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19036-2023</t>
        </is>
      </c>
      <c r="B539" s="1" t="n">
        <v>45047</v>
      </c>
      <c r="C539" s="1" t="n">
        <v>45362</v>
      </c>
      <c r="D539" t="inlineStr">
        <is>
          <t>ÖSTERGÖTLANDS LÄN</t>
        </is>
      </c>
      <c r="E539" t="inlineStr">
        <is>
          <t>ÅTVIDABERG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19030-2023</t>
        </is>
      </c>
      <c r="B540" s="1" t="n">
        <v>45047</v>
      </c>
      <c r="C540" s="1" t="n">
        <v>45362</v>
      </c>
      <c r="D540" t="inlineStr">
        <is>
          <t>ÖSTERGÖTLANDS LÄN</t>
        </is>
      </c>
      <c r="E540" t="inlineStr">
        <is>
          <t>ÅTVIDABERG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19381-2023</t>
        </is>
      </c>
      <c r="B541" s="1" t="n">
        <v>45049</v>
      </c>
      <c r="C541" s="1" t="n">
        <v>45362</v>
      </c>
      <c r="D541" t="inlineStr">
        <is>
          <t>ÖSTERGÖTLANDS LÄN</t>
        </is>
      </c>
      <c r="E541" t="inlineStr">
        <is>
          <t>ÅTVIDABERG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20372-2023</t>
        </is>
      </c>
      <c r="B542" s="1" t="n">
        <v>45056</v>
      </c>
      <c r="C542" s="1" t="n">
        <v>45362</v>
      </c>
      <c r="D542" t="inlineStr">
        <is>
          <t>ÖSTERGÖTLANDS LÄN</t>
        </is>
      </c>
      <c r="E542" t="inlineStr">
        <is>
          <t>ÅTVIDABERG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20373-2023</t>
        </is>
      </c>
      <c r="B543" s="1" t="n">
        <v>45056</v>
      </c>
      <c r="C543" s="1" t="n">
        <v>45362</v>
      </c>
      <c r="D543" t="inlineStr">
        <is>
          <t>ÖSTERGÖTLANDS LÄN</t>
        </is>
      </c>
      <c r="E543" t="inlineStr">
        <is>
          <t>ÅTVIDABERG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21241-2023</t>
        </is>
      </c>
      <c r="B544" s="1" t="n">
        <v>45057</v>
      </c>
      <c r="C544" s="1" t="n">
        <v>45362</v>
      </c>
      <c r="D544" t="inlineStr">
        <is>
          <t>ÖSTERGÖTLANDS LÄN</t>
        </is>
      </c>
      <c r="E544" t="inlineStr">
        <is>
          <t>ÅTVIDABERG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21406-2023</t>
        </is>
      </c>
      <c r="B545" s="1" t="n">
        <v>45058</v>
      </c>
      <c r="C545" s="1" t="n">
        <v>45362</v>
      </c>
      <c r="D545" t="inlineStr">
        <is>
          <t>ÖSTERGÖTLANDS LÄN</t>
        </is>
      </c>
      <c r="E545" t="inlineStr">
        <is>
          <t>ÅTVIDABERG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21440-2023</t>
        </is>
      </c>
      <c r="B546" s="1" t="n">
        <v>45058</v>
      </c>
      <c r="C546" s="1" t="n">
        <v>45362</v>
      </c>
      <c r="D546" t="inlineStr">
        <is>
          <t>ÖSTERGÖTLANDS LÄN</t>
        </is>
      </c>
      <c r="E546" t="inlineStr">
        <is>
          <t>ÅTVIDABERG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21414-2023</t>
        </is>
      </c>
      <c r="B547" s="1" t="n">
        <v>45058</v>
      </c>
      <c r="C547" s="1" t="n">
        <v>45362</v>
      </c>
      <c r="D547" t="inlineStr">
        <is>
          <t>ÖSTERGÖTLANDS LÄN</t>
        </is>
      </c>
      <c r="E547" t="inlineStr">
        <is>
          <t>ÅTVIDABERG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21465-2023</t>
        </is>
      </c>
      <c r="B548" s="1" t="n">
        <v>45058</v>
      </c>
      <c r="C548" s="1" t="n">
        <v>45362</v>
      </c>
      <c r="D548" t="inlineStr">
        <is>
          <t>ÖSTERGÖTLANDS LÄN</t>
        </is>
      </c>
      <c r="E548" t="inlineStr">
        <is>
          <t>ÅTVIDABERG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21506-2023</t>
        </is>
      </c>
      <c r="B549" s="1" t="n">
        <v>45063</v>
      </c>
      <c r="C549" s="1" t="n">
        <v>45362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Kyrkan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21511-2023</t>
        </is>
      </c>
      <c r="B550" s="1" t="n">
        <v>45063</v>
      </c>
      <c r="C550" s="1" t="n">
        <v>45362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Kyrkan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22878-2023</t>
        </is>
      </c>
      <c r="B551" s="1" t="n">
        <v>45072</v>
      </c>
      <c r="C551" s="1" t="n">
        <v>45362</v>
      </c>
      <c r="D551" t="inlineStr">
        <is>
          <t>ÖSTERGÖTLANDS LÄN</t>
        </is>
      </c>
      <c r="E551" t="inlineStr">
        <is>
          <t>ÅTVIDABERG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22924-2023</t>
        </is>
      </c>
      <c r="B552" s="1" t="n">
        <v>45072</v>
      </c>
      <c r="C552" s="1" t="n">
        <v>45362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22928-2023</t>
        </is>
      </c>
      <c r="B553" s="1" t="n">
        <v>45072</v>
      </c>
      <c r="C553" s="1" t="n">
        <v>45362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22932-2023</t>
        </is>
      </c>
      <c r="B554" s="1" t="n">
        <v>45072</v>
      </c>
      <c r="C554" s="1" t="n">
        <v>45362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22930-2023</t>
        </is>
      </c>
      <c r="B555" s="1" t="n">
        <v>45072</v>
      </c>
      <c r="C555" s="1" t="n">
        <v>45362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23642-2023</t>
        </is>
      </c>
      <c r="B556" s="1" t="n">
        <v>45077</v>
      </c>
      <c r="C556" s="1" t="n">
        <v>45362</v>
      </c>
      <c r="D556" t="inlineStr">
        <is>
          <t>ÖSTERGÖTLANDS LÄN</t>
        </is>
      </c>
      <c r="E556" t="inlineStr">
        <is>
          <t>ÅTVIDABERG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23645-2023</t>
        </is>
      </c>
      <c r="B557" s="1" t="n">
        <v>45077</v>
      </c>
      <c r="C557" s="1" t="n">
        <v>45362</v>
      </c>
      <c r="D557" t="inlineStr">
        <is>
          <t>ÖSTERGÖTLANDS LÄN</t>
        </is>
      </c>
      <c r="E557" t="inlineStr">
        <is>
          <t>ÅTVIDABERG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23647-2023</t>
        </is>
      </c>
      <c r="B558" s="1" t="n">
        <v>45077</v>
      </c>
      <c r="C558" s="1" t="n">
        <v>45362</v>
      </c>
      <c r="D558" t="inlineStr">
        <is>
          <t>ÖSTERGÖTLANDS LÄN</t>
        </is>
      </c>
      <c r="E558" t="inlineStr">
        <is>
          <t>ÅTVIDABERG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23742-2023</t>
        </is>
      </c>
      <c r="B559" s="1" t="n">
        <v>45077</v>
      </c>
      <c r="C559" s="1" t="n">
        <v>45362</v>
      </c>
      <c r="D559" t="inlineStr">
        <is>
          <t>ÖSTERGÖTLANDS LÄN</t>
        </is>
      </c>
      <c r="E559" t="inlineStr">
        <is>
          <t>ÅTVIDABERG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24162-2023</t>
        </is>
      </c>
      <c r="B560" s="1" t="n">
        <v>45079</v>
      </c>
      <c r="C560" s="1" t="n">
        <v>45362</v>
      </c>
      <c r="D560" t="inlineStr">
        <is>
          <t>ÖSTERGÖTLANDS LÄN</t>
        </is>
      </c>
      <c r="E560" t="inlineStr">
        <is>
          <t>ÅTVIDABERG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24747-2023</t>
        </is>
      </c>
      <c r="B561" s="1" t="n">
        <v>45084</v>
      </c>
      <c r="C561" s="1" t="n">
        <v>45362</v>
      </c>
      <c r="D561" t="inlineStr">
        <is>
          <t>ÖSTERGÖTLANDS LÄN</t>
        </is>
      </c>
      <c r="E561" t="inlineStr">
        <is>
          <t>ÅTVIDABERG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24716-2023</t>
        </is>
      </c>
      <c r="B562" s="1" t="n">
        <v>45084</v>
      </c>
      <c r="C562" s="1" t="n">
        <v>45362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24907-2023</t>
        </is>
      </c>
      <c r="B563" s="1" t="n">
        <v>45085</v>
      </c>
      <c r="C563" s="1" t="n">
        <v>45362</v>
      </c>
      <c r="D563" t="inlineStr">
        <is>
          <t>ÖSTERGÖTLANDS LÄN</t>
        </is>
      </c>
      <c r="E563" t="inlineStr">
        <is>
          <t>ÅTVIDABERG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24954-2023</t>
        </is>
      </c>
      <c r="B564" s="1" t="n">
        <v>45085</v>
      </c>
      <c r="C564" s="1" t="n">
        <v>45362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25548-2023</t>
        </is>
      </c>
      <c r="B565" s="1" t="n">
        <v>45089</v>
      </c>
      <c r="C565" s="1" t="n">
        <v>45362</v>
      </c>
      <c r="D565" t="inlineStr">
        <is>
          <t>ÖSTERGÖTLANDS LÄN</t>
        </is>
      </c>
      <c r="E565" t="inlineStr">
        <is>
          <t>ÅTVIDABERG</t>
        </is>
      </c>
      <c r="G565" t="n">
        <v>18.7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25481-2023</t>
        </is>
      </c>
      <c r="B566" s="1" t="n">
        <v>45089</v>
      </c>
      <c r="C566" s="1" t="n">
        <v>45362</v>
      </c>
      <c r="D566" t="inlineStr">
        <is>
          <t>ÖSTERGÖTLANDS LÄN</t>
        </is>
      </c>
      <c r="E566" t="inlineStr">
        <is>
          <t>ÅTVIDABERG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25551-2023</t>
        </is>
      </c>
      <c r="B567" s="1" t="n">
        <v>45089</v>
      </c>
      <c r="C567" s="1" t="n">
        <v>45362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25559-2023</t>
        </is>
      </c>
      <c r="B568" s="1" t="n">
        <v>45089</v>
      </c>
      <c r="C568" s="1" t="n">
        <v>45362</v>
      </c>
      <c r="D568" t="inlineStr">
        <is>
          <t>ÖSTERGÖTLANDS LÄN</t>
        </is>
      </c>
      <c r="E568" t="inlineStr">
        <is>
          <t>ÅTVIDABERG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25952-2023</t>
        </is>
      </c>
      <c r="B569" s="1" t="n">
        <v>45090</v>
      </c>
      <c r="C569" s="1" t="n">
        <v>45362</v>
      </c>
      <c r="D569" t="inlineStr">
        <is>
          <t>ÖSTERGÖTLANDS LÄN</t>
        </is>
      </c>
      <c r="E569" t="inlineStr">
        <is>
          <t>ÅTVIDABERG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26909-2023</t>
        </is>
      </c>
      <c r="B570" s="1" t="n">
        <v>45090</v>
      </c>
      <c r="C570" s="1" t="n">
        <v>45362</v>
      </c>
      <c r="D570" t="inlineStr">
        <is>
          <t>ÖSTERGÖTLANDS LÄN</t>
        </is>
      </c>
      <c r="E570" t="inlineStr">
        <is>
          <t>ÅTVIDABERG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26911-2023</t>
        </is>
      </c>
      <c r="B571" s="1" t="n">
        <v>45090</v>
      </c>
      <c r="C571" s="1" t="n">
        <v>45362</v>
      </c>
      <c r="D571" t="inlineStr">
        <is>
          <t>ÖSTERGÖTLANDS LÄN</t>
        </is>
      </c>
      <c r="E571" t="inlineStr">
        <is>
          <t>ÅTVIDABERG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26592-2023</t>
        </is>
      </c>
      <c r="B572" s="1" t="n">
        <v>45092</v>
      </c>
      <c r="C572" s="1" t="n">
        <v>45362</v>
      </c>
      <c r="D572" t="inlineStr">
        <is>
          <t>ÖSTERGÖTLANDS LÄN</t>
        </is>
      </c>
      <c r="E572" t="inlineStr">
        <is>
          <t>ÅTVIDABERG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27513-2023</t>
        </is>
      </c>
      <c r="B573" s="1" t="n">
        <v>45097</v>
      </c>
      <c r="C573" s="1" t="n">
        <v>45362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27642-2023</t>
        </is>
      </c>
      <c r="B574" s="1" t="n">
        <v>45097</v>
      </c>
      <c r="C574" s="1" t="n">
        <v>45362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27664-2023</t>
        </is>
      </c>
      <c r="B575" s="1" t="n">
        <v>45097</v>
      </c>
      <c r="C575" s="1" t="n">
        <v>45362</v>
      </c>
      <c r="D575" t="inlineStr">
        <is>
          <t>ÖSTERGÖTLANDS LÄN</t>
        </is>
      </c>
      <c r="E575" t="inlineStr">
        <is>
          <t>ÅTVIDABERG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27643-2023</t>
        </is>
      </c>
      <c r="B576" s="1" t="n">
        <v>45097</v>
      </c>
      <c r="C576" s="1" t="n">
        <v>45362</v>
      </c>
      <c r="D576" t="inlineStr">
        <is>
          <t>ÖSTERGÖTLANDS LÄN</t>
        </is>
      </c>
      <c r="E576" t="inlineStr">
        <is>
          <t>ÅTVIDABERG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27986-2023</t>
        </is>
      </c>
      <c r="B577" s="1" t="n">
        <v>45098</v>
      </c>
      <c r="C577" s="1" t="n">
        <v>45362</v>
      </c>
      <c r="D577" t="inlineStr">
        <is>
          <t>ÖSTERGÖTLANDS LÄN</t>
        </is>
      </c>
      <c r="E577" t="inlineStr">
        <is>
          <t>ÅTVIDABERG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27987-2023</t>
        </is>
      </c>
      <c r="B578" s="1" t="n">
        <v>45098</v>
      </c>
      <c r="C578" s="1" t="n">
        <v>45362</v>
      </c>
      <c r="D578" t="inlineStr">
        <is>
          <t>ÖSTERGÖTLANDS LÄN</t>
        </is>
      </c>
      <c r="E578" t="inlineStr">
        <is>
          <t>ÅTVIDABERG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27992-2023</t>
        </is>
      </c>
      <c r="B579" s="1" t="n">
        <v>45098</v>
      </c>
      <c r="C579" s="1" t="n">
        <v>45362</v>
      </c>
      <c r="D579" t="inlineStr">
        <is>
          <t>ÖSTERGÖTLANDS LÄN</t>
        </is>
      </c>
      <c r="E579" t="inlineStr">
        <is>
          <t>ÅTVIDABERG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28477-2023</t>
        </is>
      </c>
      <c r="B580" s="1" t="n">
        <v>45103</v>
      </c>
      <c r="C580" s="1" t="n">
        <v>45362</v>
      </c>
      <c r="D580" t="inlineStr">
        <is>
          <t>ÖSTERGÖTLANDS LÄN</t>
        </is>
      </c>
      <c r="E580" t="inlineStr">
        <is>
          <t>ÅTVIDABERG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28824-2023</t>
        </is>
      </c>
      <c r="B581" s="1" t="n">
        <v>45104</v>
      </c>
      <c r="C581" s="1" t="n">
        <v>45362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28887-2023</t>
        </is>
      </c>
      <c r="B582" s="1" t="n">
        <v>45104</v>
      </c>
      <c r="C582" s="1" t="n">
        <v>45362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28876-2023</t>
        </is>
      </c>
      <c r="B583" s="1" t="n">
        <v>45104</v>
      </c>
      <c r="C583" s="1" t="n">
        <v>45362</v>
      </c>
      <c r="D583" t="inlineStr">
        <is>
          <t>ÖSTERGÖTLANDS LÄN</t>
        </is>
      </c>
      <c r="E583" t="inlineStr">
        <is>
          <t>ÅTVIDABERG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28878-2023</t>
        </is>
      </c>
      <c r="B584" s="1" t="n">
        <v>45104</v>
      </c>
      <c r="C584" s="1" t="n">
        <v>45362</v>
      </c>
      <c r="D584" t="inlineStr">
        <is>
          <t>ÖSTERGÖTLANDS LÄN</t>
        </is>
      </c>
      <c r="E584" t="inlineStr">
        <is>
          <t>ÅTVIDABERG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29358-2023</t>
        </is>
      </c>
      <c r="B585" s="1" t="n">
        <v>45106</v>
      </c>
      <c r="C585" s="1" t="n">
        <v>45362</v>
      </c>
      <c r="D585" t="inlineStr">
        <is>
          <t>ÖSTERGÖTLANDS LÄN</t>
        </is>
      </c>
      <c r="E585" t="inlineStr">
        <is>
          <t>ÅTVIDABERG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29909-2023</t>
        </is>
      </c>
      <c r="B586" s="1" t="n">
        <v>45107</v>
      </c>
      <c r="C586" s="1" t="n">
        <v>45362</v>
      </c>
      <c r="D586" t="inlineStr">
        <is>
          <t>ÖSTERGÖTLANDS LÄN</t>
        </is>
      </c>
      <c r="E586" t="inlineStr">
        <is>
          <t>ÅTVIDABERG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30119-2023</t>
        </is>
      </c>
      <c r="B587" s="1" t="n">
        <v>45110</v>
      </c>
      <c r="C587" s="1" t="n">
        <v>45362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30337-2023</t>
        </is>
      </c>
      <c r="B588" s="1" t="n">
        <v>45111</v>
      </c>
      <c r="C588" s="1" t="n">
        <v>45362</v>
      </c>
      <c r="D588" t="inlineStr">
        <is>
          <t>ÖSTERGÖTLANDS LÄN</t>
        </is>
      </c>
      <c r="E588" t="inlineStr">
        <is>
          <t>ÅTVIDABERG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30338-2023</t>
        </is>
      </c>
      <c r="B589" s="1" t="n">
        <v>45111</v>
      </c>
      <c r="C589" s="1" t="n">
        <v>45362</v>
      </c>
      <c r="D589" t="inlineStr">
        <is>
          <t>ÖSTERGÖTLANDS LÄN</t>
        </is>
      </c>
      <c r="E589" t="inlineStr">
        <is>
          <t>ÅTVIDABERG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30649-2023</t>
        </is>
      </c>
      <c r="B590" s="1" t="n">
        <v>45112</v>
      </c>
      <c r="C590" s="1" t="n">
        <v>45362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30915-2023</t>
        </is>
      </c>
      <c r="B591" s="1" t="n">
        <v>45113</v>
      </c>
      <c r="C591" s="1" t="n">
        <v>45362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Aktiebolag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30967-2023</t>
        </is>
      </c>
      <c r="B592" s="1" t="n">
        <v>45113</v>
      </c>
      <c r="C592" s="1" t="n">
        <v>45362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Aktiebolag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30885-2023</t>
        </is>
      </c>
      <c r="B593" s="1" t="n">
        <v>45113</v>
      </c>
      <c r="C593" s="1" t="n">
        <v>45362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Aktiebolag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31047-2023</t>
        </is>
      </c>
      <c r="B594" s="1" t="n">
        <v>45113</v>
      </c>
      <c r="C594" s="1" t="n">
        <v>45362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Övriga Aktiebolag</t>
        </is>
      </c>
      <c r="G594" t="n">
        <v>11.6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31460-2023</t>
        </is>
      </c>
      <c r="B595" s="1" t="n">
        <v>45114</v>
      </c>
      <c r="C595" s="1" t="n">
        <v>45362</v>
      </c>
      <c r="D595" t="inlineStr">
        <is>
          <t>ÖSTERGÖTLANDS LÄN</t>
        </is>
      </c>
      <c r="E595" t="inlineStr">
        <is>
          <t>ÅTVIDABERG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31458-2023</t>
        </is>
      </c>
      <c r="B596" s="1" t="n">
        <v>45114</v>
      </c>
      <c r="C596" s="1" t="n">
        <v>45362</v>
      </c>
      <c r="D596" t="inlineStr">
        <is>
          <t>ÖSTERGÖTLANDS LÄN</t>
        </is>
      </c>
      <c r="E596" t="inlineStr">
        <is>
          <t>ÅTVIDABERG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31461-2023</t>
        </is>
      </c>
      <c r="B597" s="1" t="n">
        <v>45114</v>
      </c>
      <c r="C597" s="1" t="n">
        <v>45362</v>
      </c>
      <c r="D597" t="inlineStr">
        <is>
          <t>ÖSTERGÖTLANDS LÄN</t>
        </is>
      </c>
      <c r="E597" t="inlineStr">
        <is>
          <t>ÅTVIDABERG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33540-2023</t>
        </is>
      </c>
      <c r="B598" s="1" t="n">
        <v>45118</v>
      </c>
      <c r="C598" s="1" t="n">
        <v>45362</v>
      </c>
      <c r="D598" t="inlineStr">
        <is>
          <t>ÖSTERGÖTLANDS LÄN</t>
        </is>
      </c>
      <c r="E598" t="inlineStr">
        <is>
          <t>ÅTVIDABERG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33536-2023</t>
        </is>
      </c>
      <c r="B599" s="1" t="n">
        <v>45118</v>
      </c>
      <c r="C599" s="1" t="n">
        <v>45362</v>
      </c>
      <c r="D599" t="inlineStr">
        <is>
          <t>ÖSTERGÖTLANDS LÄN</t>
        </is>
      </c>
      <c r="E599" t="inlineStr">
        <is>
          <t>ÅTVIDABERG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33542-2023</t>
        </is>
      </c>
      <c r="B600" s="1" t="n">
        <v>45118</v>
      </c>
      <c r="C600" s="1" t="n">
        <v>45362</v>
      </c>
      <c r="D600" t="inlineStr">
        <is>
          <t>ÖSTERGÖTLANDS LÄN</t>
        </is>
      </c>
      <c r="E600" t="inlineStr">
        <is>
          <t>ÅTVIDABERG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32382-2023</t>
        </is>
      </c>
      <c r="B601" s="1" t="n">
        <v>45120</v>
      </c>
      <c r="C601" s="1" t="n">
        <v>45362</v>
      </c>
      <c r="D601" t="inlineStr">
        <is>
          <t>ÖSTERGÖTLANDS LÄN</t>
        </is>
      </c>
      <c r="E601" t="inlineStr">
        <is>
          <t>ÅTVIDABERG</t>
        </is>
      </c>
      <c r="G601" t="n">
        <v>15.6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32740-2023</t>
        </is>
      </c>
      <c r="B602" s="1" t="n">
        <v>45122</v>
      </c>
      <c r="C602" s="1" t="n">
        <v>45362</v>
      </c>
      <c r="D602" t="inlineStr">
        <is>
          <t>ÖSTERGÖTLANDS LÄN</t>
        </is>
      </c>
      <c r="E602" t="inlineStr">
        <is>
          <t>ÅTVIDABERG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32742-2023</t>
        </is>
      </c>
      <c r="B603" s="1" t="n">
        <v>45122</v>
      </c>
      <c r="C603" s="1" t="n">
        <v>45362</v>
      </c>
      <c r="D603" t="inlineStr">
        <is>
          <t>ÖSTERGÖTLANDS LÄN</t>
        </is>
      </c>
      <c r="E603" t="inlineStr">
        <is>
          <t>ÅTVIDABERG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32739-2023</t>
        </is>
      </c>
      <c r="B604" s="1" t="n">
        <v>45122</v>
      </c>
      <c r="C604" s="1" t="n">
        <v>45362</v>
      </c>
      <c r="D604" t="inlineStr">
        <is>
          <t>ÖSTERGÖTLANDS LÄN</t>
        </is>
      </c>
      <c r="E604" t="inlineStr">
        <is>
          <t>ÅTVIDABERG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32741-2023</t>
        </is>
      </c>
      <c r="B605" s="1" t="n">
        <v>45122</v>
      </c>
      <c r="C605" s="1" t="n">
        <v>45362</v>
      </c>
      <c r="D605" t="inlineStr">
        <is>
          <t>ÖSTERGÖTLANDS LÄN</t>
        </is>
      </c>
      <c r="E605" t="inlineStr">
        <is>
          <t>ÅTVIDABERG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35548-2023</t>
        </is>
      </c>
      <c r="B606" s="1" t="n">
        <v>45147</v>
      </c>
      <c r="C606" s="1" t="n">
        <v>45362</v>
      </c>
      <c r="D606" t="inlineStr">
        <is>
          <t>ÖSTERGÖTLANDS LÄN</t>
        </is>
      </c>
      <c r="E606" t="inlineStr">
        <is>
          <t>ÅTVIDABERG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35738-2023</t>
        </is>
      </c>
      <c r="B607" s="1" t="n">
        <v>45147</v>
      </c>
      <c r="C607" s="1" t="n">
        <v>45362</v>
      </c>
      <c r="D607" t="inlineStr">
        <is>
          <t>ÖSTERGÖTLANDS LÄN</t>
        </is>
      </c>
      <c r="E607" t="inlineStr">
        <is>
          <t>ÅTVIDABERG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35993-2023</t>
        </is>
      </c>
      <c r="B608" s="1" t="n">
        <v>45149</v>
      </c>
      <c r="C608" s="1" t="n">
        <v>45362</v>
      </c>
      <c r="D608" t="inlineStr">
        <is>
          <t>ÖSTERGÖTLANDS LÄN</t>
        </is>
      </c>
      <c r="E608" t="inlineStr">
        <is>
          <t>ÅTVIDABERG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36621-2023</t>
        </is>
      </c>
      <c r="B609" s="1" t="n">
        <v>45153</v>
      </c>
      <c r="C609" s="1" t="n">
        <v>45362</v>
      </c>
      <c r="D609" t="inlineStr">
        <is>
          <t>ÖSTERGÖTLANDS LÄN</t>
        </is>
      </c>
      <c r="E609" t="inlineStr">
        <is>
          <t>ÅTVIDABERG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36822-2023</t>
        </is>
      </c>
      <c r="B610" s="1" t="n">
        <v>45154</v>
      </c>
      <c r="C610" s="1" t="n">
        <v>45362</v>
      </c>
      <c r="D610" t="inlineStr">
        <is>
          <t>ÖSTERGÖTLANDS LÄN</t>
        </is>
      </c>
      <c r="E610" t="inlineStr">
        <is>
          <t>ÅTVIDABERG</t>
        </is>
      </c>
      <c r="G610" t="n">
        <v>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37580-2023</t>
        </is>
      </c>
      <c r="B611" s="1" t="n">
        <v>45155</v>
      </c>
      <c r="C611" s="1" t="n">
        <v>45362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37156-2023</t>
        </is>
      </c>
      <c r="B612" s="1" t="n">
        <v>45155</v>
      </c>
      <c r="C612" s="1" t="n">
        <v>45362</v>
      </c>
      <c r="D612" t="inlineStr">
        <is>
          <t>ÖSTERGÖTLANDS LÄN</t>
        </is>
      </c>
      <c r="E612" t="inlineStr">
        <is>
          <t>ÅTVIDABERG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37214-2023</t>
        </is>
      </c>
      <c r="B613" s="1" t="n">
        <v>45155</v>
      </c>
      <c r="C613" s="1" t="n">
        <v>45362</v>
      </c>
      <c r="D613" t="inlineStr">
        <is>
          <t>ÖSTERGÖTLANDS LÄN</t>
        </is>
      </c>
      <c r="E613" t="inlineStr">
        <is>
          <t>ÅTVIDABERG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37576-2023</t>
        </is>
      </c>
      <c r="B614" s="1" t="n">
        <v>45155</v>
      </c>
      <c r="C614" s="1" t="n">
        <v>45362</v>
      </c>
      <c r="D614" t="inlineStr">
        <is>
          <t>ÖSTERGÖTLANDS LÄN</t>
        </is>
      </c>
      <c r="E614" t="inlineStr">
        <is>
          <t>ÅTVIDABERG</t>
        </is>
      </c>
      <c r="F614" t="inlineStr">
        <is>
          <t>Övriga statliga verk och myndigheter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37582-2023</t>
        </is>
      </c>
      <c r="B615" s="1" t="n">
        <v>45155</v>
      </c>
      <c r="C615" s="1" t="n">
        <v>45362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Övriga statliga verk och myndigheter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37304-2023</t>
        </is>
      </c>
      <c r="B616" s="1" t="n">
        <v>45156</v>
      </c>
      <c r="C616" s="1" t="n">
        <v>45362</v>
      </c>
      <c r="D616" t="inlineStr">
        <is>
          <t>ÖSTERGÖTLANDS LÄN</t>
        </is>
      </c>
      <c r="E616" t="inlineStr">
        <is>
          <t>ÅTVIDABERG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38654-2023</t>
        </is>
      </c>
      <c r="B617" s="1" t="n">
        <v>45162</v>
      </c>
      <c r="C617" s="1" t="n">
        <v>45362</v>
      </c>
      <c r="D617" t="inlineStr">
        <is>
          <t>ÖSTERGÖTLANDS LÄN</t>
        </is>
      </c>
      <c r="E617" t="inlineStr">
        <is>
          <t>ÅTVIDABERG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38650-2023</t>
        </is>
      </c>
      <c r="B618" s="1" t="n">
        <v>45162</v>
      </c>
      <c r="C618" s="1" t="n">
        <v>45362</v>
      </c>
      <c r="D618" t="inlineStr">
        <is>
          <t>ÖSTERGÖTLANDS LÄN</t>
        </is>
      </c>
      <c r="E618" t="inlineStr">
        <is>
          <t>ÅTVIDABERG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39082-2023</t>
        </is>
      </c>
      <c r="B619" s="1" t="n">
        <v>45164</v>
      </c>
      <c r="C619" s="1" t="n">
        <v>45362</v>
      </c>
      <c r="D619" t="inlineStr">
        <is>
          <t>ÖSTERGÖTLANDS LÄN</t>
        </is>
      </c>
      <c r="E619" t="inlineStr">
        <is>
          <t>ÅTVIDABERG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39155-2023</t>
        </is>
      </c>
      <c r="B620" s="1" t="n">
        <v>45166</v>
      </c>
      <c r="C620" s="1" t="n">
        <v>45362</v>
      </c>
      <c r="D620" t="inlineStr">
        <is>
          <t>ÖSTERGÖTLANDS LÄN</t>
        </is>
      </c>
      <c r="E620" t="inlineStr">
        <is>
          <t>ÅTVIDABERG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39160-2023</t>
        </is>
      </c>
      <c r="B621" s="1" t="n">
        <v>45166</v>
      </c>
      <c r="C621" s="1" t="n">
        <v>45362</v>
      </c>
      <c r="D621" t="inlineStr">
        <is>
          <t>ÖSTERGÖTLANDS LÄN</t>
        </is>
      </c>
      <c r="E621" t="inlineStr">
        <is>
          <t>ÅTVIDABERG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39680-2023</t>
        </is>
      </c>
      <c r="B622" s="1" t="n">
        <v>45167</v>
      </c>
      <c r="C622" s="1" t="n">
        <v>45362</v>
      </c>
      <c r="D622" t="inlineStr">
        <is>
          <t>ÖSTERGÖTLANDS LÄN</t>
        </is>
      </c>
      <c r="E622" t="inlineStr">
        <is>
          <t>ÅTVIDABERG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39580-2023</t>
        </is>
      </c>
      <c r="B623" s="1" t="n">
        <v>45167</v>
      </c>
      <c r="C623" s="1" t="n">
        <v>45362</v>
      </c>
      <c r="D623" t="inlineStr">
        <is>
          <t>ÖSTERGÖTLANDS LÄN</t>
        </is>
      </c>
      <c r="E623" t="inlineStr">
        <is>
          <t>ÅTVIDABERG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39837-2023</t>
        </is>
      </c>
      <c r="B624" s="1" t="n">
        <v>45168</v>
      </c>
      <c r="C624" s="1" t="n">
        <v>45362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Kyrkan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39930-2023</t>
        </is>
      </c>
      <c r="B625" s="1" t="n">
        <v>45168</v>
      </c>
      <c r="C625" s="1" t="n">
        <v>45362</v>
      </c>
      <c r="D625" t="inlineStr">
        <is>
          <t>ÖSTERGÖTLANDS LÄN</t>
        </is>
      </c>
      <c r="E625" t="inlineStr">
        <is>
          <t>ÅTVIDABERG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40297-2023</t>
        </is>
      </c>
      <c r="B626" s="1" t="n">
        <v>45169</v>
      </c>
      <c r="C626" s="1" t="n">
        <v>45362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40292-2023</t>
        </is>
      </c>
      <c r="B627" s="1" t="n">
        <v>45169</v>
      </c>
      <c r="C627" s="1" t="n">
        <v>45362</v>
      </c>
      <c r="D627" t="inlineStr">
        <is>
          <t>ÖSTERGÖTLANDS LÄN</t>
        </is>
      </c>
      <c r="E627" t="inlineStr">
        <is>
          <t>ÅTVIDABERG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40279-2023</t>
        </is>
      </c>
      <c r="B628" s="1" t="n">
        <v>45169</v>
      </c>
      <c r="C628" s="1" t="n">
        <v>45362</v>
      </c>
      <c r="D628" t="inlineStr">
        <is>
          <t>ÖSTERGÖTLANDS LÄN</t>
        </is>
      </c>
      <c r="E628" t="inlineStr">
        <is>
          <t>ÅTVIDABERG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40553-2023</t>
        </is>
      </c>
      <c r="B629" s="1" t="n">
        <v>45170</v>
      </c>
      <c r="C629" s="1" t="n">
        <v>45362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40535-2023</t>
        </is>
      </c>
      <c r="B630" s="1" t="n">
        <v>45170</v>
      </c>
      <c r="C630" s="1" t="n">
        <v>45362</v>
      </c>
      <c r="D630" t="inlineStr">
        <is>
          <t>ÖSTERGÖTLANDS LÄN</t>
        </is>
      </c>
      <c r="E630" t="inlineStr">
        <is>
          <t>ÅTVIDABERG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40746-2023</t>
        </is>
      </c>
      <c r="B631" s="1" t="n">
        <v>45170</v>
      </c>
      <c r="C631" s="1" t="n">
        <v>45362</v>
      </c>
      <c r="D631" t="inlineStr">
        <is>
          <t>ÖSTERGÖTLANDS LÄN</t>
        </is>
      </c>
      <c r="E631" t="inlineStr">
        <is>
          <t>ÅTVIDABERG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40747-2023</t>
        </is>
      </c>
      <c r="B632" s="1" t="n">
        <v>45170</v>
      </c>
      <c r="C632" s="1" t="n">
        <v>45362</v>
      </c>
      <c r="D632" t="inlineStr">
        <is>
          <t>ÖSTERGÖTLANDS LÄN</t>
        </is>
      </c>
      <c r="E632" t="inlineStr">
        <is>
          <t>ÅTVIDABERG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41765-2023</t>
        </is>
      </c>
      <c r="B633" s="1" t="n">
        <v>45176</v>
      </c>
      <c r="C633" s="1" t="n">
        <v>45362</v>
      </c>
      <c r="D633" t="inlineStr">
        <is>
          <t>ÖSTERGÖTLANDS LÄN</t>
        </is>
      </c>
      <c r="E633" t="inlineStr">
        <is>
          <t>ÅTVIDABERG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41805-2023</t>
        </is>
      </c>
      <c r="B634" s="1" t="n">
        <v>45176</v>
      </c>
      <c r="C634" s="1" t="n">
        <v>45362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41849-2023</t>
        </is>
      </c>
      <c r="B635" s="1" t="n">
        <v>45176</v>
      </c>
      <c r="C635" s="1" t="n">
        <v>45362</v>
      </c>
      <c r="D635" t="inlineStr">
        <is>
          <t>ÖSTERGÖTLANDS LÄN</t>
        </is>
      </c>
      <c r="E635" t="inlineStr">
        <is>
          <t>ÅTVIDABERG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42368-2023</t>
        </is>
      </c>
      <c r="B636" s="1" t="n">
        <v>45180</v>
      </c>
      <c r="C636" s="1" t="n">
        <v>45362</v>
      </c>
      <c r="D636" t="inlineStr">
        <is>
          <t>ÖSTERGÖTLANDS LÄN</t>
        </is>
      </c>
      <c r="E636" t="inlineStr">
        <is>
          <t>ÅTVIDABERG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42378-2023</t>
        </is>
      </c>
      <c r="B637" s="1" t="n">
        <v>45180</v>
      </c>
      <c r="C637" s="1" t="n">
        <v>45362</v>
      </c>
      <c r="D637" t="inlineStr">
        <is>
          <t>ÖSTERGÖTLANDS LÄN</t>
        </is>
      </c>
      <c r="E637" t="inlineStr">
        <is>
          <t>ÅTVIDABERG</t>
        </is>
      </c>
      <c r="G637" t="n">
        <v>15.9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42382-2023</t>
        </is>
      </c>
      <c r="B638" s="1" t="n">
        <v>45180</v>
      </c>
      <c r="C638" s="1" t="n">
        <v>45362</v>
      </c>
      <c r="D638" t="inlineStr">
        <is>
          <t>ÖSTERGÖTLANDS LÄN</t>
        </is>
      </c>
      <c r="E638" t="inlineStr">
        <is>
          <t>ÅTVIDABERG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42487-2023</t>
        </is>
      </c>
      <c r="B639" s="1" t="n">
        <v>45180</v>
      </c>
      <c r="C639" s="1" t="n">
        <v>45362</v>
      </c>
      <c r="D639" t="inlineStr">
        <is>
          <t>ÖSTERGÖTLANDS LÄN</t>
        </is>
      </c>
      <c r="E639" t="inlineStr">
        <is>
          <t>ÅTVIDABERG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42488-2023</t>
        </is>
      </c>
      <c r="B640" s="1" t="n">
        <v>45180</v>
      </c>
      <c r="C640" s="1" t="n">
        <v>45362</v>
      </c>
      <c r="D640" t="inlineStr">
        <is>
          <t>ÖSTERGÖTLANDS LÄN</t>
        </is>
      </c>
      <c r="E640" t="inlineStr">
        <is>
          <t>ÅTVIDABERG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43082-2023</t>
        </is>
      </c>
      <c r="B641" s="1" t="n">
        <v>45182</v>
      </c>
      <c r="C641" s="1" t="n">
        <v>45362</v>
      </c>
      <c r="D641" t="inlineStr">
        <is>
          <t>ÖSTERGÖTLANDS LÄN</t>
        </is>
      </c>
      <c r="E641" t="inlineStr">
        <is>
          <t>ÅTVIDABERG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43083-2023</t>
        </is>
      </c>
      <c r="B642" s="1" t="n">
        <v>45182</v>
      </c>
      <c r="C642" s="1" t="n">
        <v>45362</v>
      </c>
      <c r="D642" t="inlineStr">
        <is>
          <t>ÖSTERGÖTLANDS LÄN</t>
        </is>
      </c>
      <c r="E642" t="inlineStr">
        <is>
          <t>ÅTVIDABERG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43385-2023</t>
        </is>
      </c>
      <c r="B643" s="1" t="n">
        <v>45183</v>
      </c>
      <c r="C643" s="1" t="n">
        <v>45362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43387-2023</t>
        </is>
      </c>
      <c r="B644" s="1" t="n">
        <v>45183</v>
      </c>
      <c r="C644" s="1" t="n">
        <v>45362</v>
      </c>
      <c r="D644" t="inlineStr">
        <is>
          <t>ÖSTERGÖTLANDS LÄN</t>
        </is>
      </c>
      <c r="E644" t="inlineStr">
        <is>
          <t>ÅTVIDABERG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43391-2023</t>
        </is>
      </c>
      <c r="B645" s="1" t="n">
        <v>45183</v>
      </c>
      <c r="C645" s="1" t="n">
        <v>45362</v>
      </c>
      <c r="D645" t="inlineStr">
        <is>
          <t>ÖSTERGÖTLANDS LÄN</t>
        </is>
      </c>
      <c r="E645" t="inlineStr">
        <is>
          <t>ÅTVIDABERG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43392-2023</t>
        </is>
      </c>
      <c r="B646" s="1" t="n">
        <v>45183</v>
      </c>
      <c r="C646" s="1" t="n">
        <v>45362</v>
      </c>
      <c r="D646" t="inlineStr">
        <is>
          <t>ÖSTERGÖTLANDS LÄN</t>
        </is>
      </c>
      <c r="E646" t="inlineStr">
        <is>
          <t>ÅTVIDABERG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43382-2023</t>
        </is>
      </c>
      <c r="B647" s="1" t="n">
        <v>45183</v>
      </c>
      <c r="C647" s="1" t="n">
        <v>45362</v>
      </c>
      <c r="D647" t="inlineStr">
        <is>
          <t>ÖSTERGÖTLANDS LÄN</t>
        </is>
      </c>
      <c r="E647" t="inlineStr">
        <is>
          <t>ÅTVIDABERG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43386-2023</t>
        </is>
      </c>
      <c r="B648" s="1" t="n">
        <v>45183</v>
      </c>
      <c r="C648" s="1" t="n">
        <v>45362</v>
      </c>
      <c r="D648" t="inlineStr">
        <is>
          <t>ÖSTERGÖTLANDS LÄN</t>
        </is>
      </c>
      <c r="E648" t="inlineStr">
        <is>
          <t>ÅTVIDABERG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44502-2023</t>
        </is>
      </c>
      <c r="B649" s="1" t="n">
        <v>45184</v>
      </c>
      <c r="C649" s="1" t="n">
        <v>45362</v>
      </c>
      <c r="D649" t="inlineStr">
        <is>
          <t>ÖSTERGÖTLANDS LÄN</t>
        </is>
      </c>
      <c r="E649" t="inlineStr">
        <is>
          <t>ÅTVIDABERG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43940-2023</t>
        </is>
      </c>
      <c r="B650" s="1" t="n">
        <v>45187</v>
      </c>
      <c r="C650" s="1" t="n">
        <v>45362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Övriga Aktiebolag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43872-2023</t>
        </is>
      </c>
      <c r="B651" s="1" t="n">
        <v>45187</v>
      </c>
      <c r="C651" s="1" t="n">
        <v>45362</v>
      </c>
      <c r="D651" t="inlineStr">
        <is>
          <t>ÖSTERGÖTLANDS LÄN</t>
        </is>
      </c>
      <c r="E651" t="inlineStr">
        <is>
          <t>ÅTVIDABERG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43938-2023</t>
        </is>
      </c>
      <c r="B652" s="1" t="n">
        <v>45187</v>
      </c>
      <c r="C652" s="1" t="n">
        <v>45362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Övriga Aktiebolag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43862-2023</t>
        </is>
      </c>
      <c r="B653" s="1" t="n">
        <v>45187</v>
      </c>
      <c r="C653" s="1" t="n">
        <v>45362</v>
      </c>
      <c r="D653" t="inlineStr">
        <is>
          <t>ÖSTERGÖTLANDS LÄN</t>
        </is>
      </c>
      <c r="E653" t="inlineStr">
        <is>
          <t>ÅTVIDABERG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45239-2023</t>
        </is>
      </c>
      <c r="B654" s="1" t="n">
        <v>45191</v>
      </c>
      <c r="C654" s="1" t="n">
        <v>45362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45700-2023</t>
        </is>
      </c>
      <c r="B655" s="1" t="n">
        <v>45195</v>
      </c>
      <c r="C655" s="1" t="n">
        <v>45362</v>
      </c>
      <c r="D655" t="inlineStr">
        <is>
          <t>ÖSTERGÖTLANDS LÄN</t>
        </is>
      </c>
      <c r="E655" t="inlineStr">
        <is>
          <t>ÅTVIDABERG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49146-2023</t>
        </is>
      </c>
      <c r="B656" s="1" t="n">
        <v>45204</v>
      </c>
      <c r="C656" s="1" t="n">
        <v>45362</v>
      </c>
      <c r="D656" t="inlineStr">
        <is>
          <t>ÖSTERGÖTLANDS LÄN</t>
        </is>
      </c>
      <c r="E656" t="inlineStr">
        <is>
          <t>ÅTVIDABERG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48492-2023</t>
        </is>
      </c>
      <c r="B657" s="1" t="n">
        <v>45205</v>
      </c>
      <c r="C657" s="1" t="n">
        <v>45362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Övriga statliga verk och myndigheter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48580-2023</t>
        </is>
      </c>
      <c r="B658" s="1" t="n">
        <v>45208</v>
      </c>
      <c r="C658" s="1" t="n">
        <v>45362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Kyrkan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49123-2023</t>
        </is>
      </c>
      <c r="B659" s="1" t="n">
        <v>45210</v>
      </c>
      <c r="C659" s="1" t="n">
        <v>45362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49132-2023</t>
        </is>
      </c>
      <c r="B660" s="1" t="n">
        <v>45210</v>
      </c>
      <c r="C660" s="1" t="n">
        <v>45362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49126-2023</t>
        </is>
      </c>
      <c r="B661" s="1" t="n">
        <v>45210</v>
      </c>
      <c r="C661" s="1" t="n">
        <v>45362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49131-2023</t>
        </is>
      </c>
      <c r="B662" s="1" t="n">
        <v>45210</v>
      </c>
      <c r="C662" s="1" t="n">
        <v>45362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Sveaskog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49234-2023</t>
        </is>
      </c>
      <c r="B663" s="1" t="n">
        <v>45210</v>
      </c>
      <c r="C663" s="1" t="n">
        <v>45362</v>
      </c>
      <c r="D663" t="inlineStr">
        <is>
          <t>ÖSTERGÖTLANDS LÄN</t>
        </is>
      </c>
      <c r="E663" t="inlineStr">
        <is>
          <t>ÅTVIDABERG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49409-2023</t>
        </is>
      </c>
      <c r="B664" s="1" t="n">
        <v>45211</v>
      </c>
      <c r="C664" s="1" t="n">
        <v>45362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Övriga Aktiebolag</t>
        </is>
      </c>
      <c r="G664" t="n">
        <v>25.2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50799-2023</t>
        </is>
      </c>
      <c r="B665" s="1" t="n">
        <v>45217</v>
      </c>
      <c r="C665" s="1" t="n">
        <v>45362</v>
      </c>
      <c r="D665" t="inlineStr">
        <is>
          <t>ÖSTERGÖTLANDS LÄN</t>
        </is>
      </c>
      <c r="E665" t="inlineStr">
        <is>
          <t>ÅTVIDABERG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50810-2023</t>
        </is>
      </c>
      <c r="B666" s="1" t="n">
        <v>45217</v>
      </c>
      <c r="C666" s="1" t="n">
        <v>45362</v>
      </c>
      <c r="D666" t="inlineStr">
        <is>
          <t>ÖSTERGÖTLANDS LÄN</t>
        </is>
      </c>
      <c r="E666" t="inlineStr">
        <is>
          <t>ÅTVIDABERG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51777-2023</t>
        </is>
      </c>
      <c r="B667" s="1" t="n">
        <v>45222</v>
      </c>
      <c r="C667" s="1" t="n">
        <v>45362</v>
      </c>
      <c r="D667" t="inlineStr">
        <is>
          <t>ÖSTERGÖTLANDS LÄN</t>
        </is>
      </c>
      <c r="E667" t="inlineStr">
        <is>
          <t>ÅTVIDABERG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53005-2023</t>
        </is>
      </c>
      <c r="B668" s="1" t="n">
        <v>45222</v>
      </c>
      <c r="C668" s="1" t="n">
        <v>45362</v>
      </c>
      <c r="D668" t="inlineStr">
        <is>
          <t>ÖSTERGÖTLANDS LÄN</t>
        </is>
      </c>
      <c r="E668" t="inlineStr">
        <is>
          <t>ÅTVIDABERG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53004-2023</t>
        </is>
      </c>
      <c r="B669" s="1" t="n">
        <v>45222</v>
      </c>
      <c r="C669" s="1" t="n">
        <v>45362</v>
      </c>
      <c r="D669" t="inlineStr">
        <is>
          <t>ÖSTERGÖTLANDS LÄN</t>
        </is>
      </c>
      <c r="E669" t="inlineStr">
        <is>
          <t>ÅTVIDABERG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52161-2023</t>
        </is>
      </c>
      <c r="B670" s="1" t="n">
        <v>45224</v>
      </c>
      <c r="C670" s="1" t="n">
        <v>45362</v>
      </c>
      <c r="D670" t="inlineStr">
        <is>
          <t>ÖSTERGÖTLANDS LÄN</t>
        </is>
      </c>
      <c r="E670" t="inlineStr">
        <is>
          <t>ÅTVIDABERG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52217-2023</t>
        </is>
      </c>
      <c r="B671" s="1" t="n">
        <v>45224</v>
      </c>
      <c r="C671" s="1" t="n">
        <v>45362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52232-2023</t>
        </is>
      </c>
      <c r="B672" s="1" t="n">
        <v>45224</v>
      </c>
      <c r="C672" s="1" t="n">
        <v>45362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52238-2023</t>
        </is>
      </c>
      <c r="B673" s="1" t="n">
        <v>45224</v>
      </c>
      <c r="C673" s="1" t="n">
        <v>45362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52235-2023</t>
        </is>
      </c>
      <c r="B674" s="1" t="n">
        <v>45224</v>
      </c>
      <c r="C674" s="1" t="n">
        <v>45362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52241-2023</t>
        </is>
      </c>
      <c r="B675" s="1" t="n">
        <v>45224</v>
      </c>
      <c r="C675" s="1" t="n">
        <v>45362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52199-2023</t>
        </is>
      </c>
      <c r="B676" s="1" t="n">
        <v>45224</v>
      </c>
      <c r="C676" s="1" t="n">
        <v>45362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52160-2023</t>
        </is>
      </c>
      <c r="B677" s="1" t="n">
        <v>45224</v>
      </c>
      <c r="C677" s="1" t="n">
        <v>45362</v>
      </c>
      <c r="D677" t="inlineStr">
        <is>
          <t>ÖSTERGÖTLANDS LÄN</t>
        </is>
      </c>
      <c r="E677" t="inlineStr">
        <is>
          <t>ÅTVIDABERG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52197-2023</t>
        </is>
      </c>
      <c r="B678" s="1" t="n">
        <v>45224</v>
      </c>
      <c r="C678" s="1" t="n">
        <v>45362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52527-2023</t>
        </is>
      </c>
      <c r="B679" s="1" t="n">
        <v>45225</v>
      </c>
      <c r="C679" s="1" t="n">
        <v>45362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52524-2023</t>
        </is>
      </c>
      <c r="B680" s="1" t="n">
        <v>45225</v>
      </c>
      <c r="C680" s="1" t="n">
        <v>45362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53071-2023</t>
        </is>
      </c>
      <c r="B681" s="1" t="n">
        <v>45227</v>
      </c>
      <c r="C681" s="1" t="n">
        <v>45362</v>
      </c>
      <c r="D681" t="inlineStr">
        <is>
          <t>ÖSTERGÖTLANDS LÄN</t>
        </is>
      </c>
      <c r="E681" t="inlineStr">
        <is>
          <t>ÅTVIDABERG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53074-2023</t>
        </is>
      </c>
      <c r="B682" s="1" t="n">
        <v>45227</v>
      </c>
      <c r="C682" s="1" t="n">
        <v>45362</v>
      </c>
      <c r="D682" t="inlineStr">
        <is>
          <t>ÖSTERGÖTLANDS LÄN</t>
        </is>
      </c>
      <c r="E682" t="inlineStr">
        <is>
          <t>ÅTVIDABERG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53072-2023</t>
        </is>
      </c>
      <c r="B683" s="1" t="n">
        <v>45227</v>
      </c>
      <c r="C683" s="1" t="n">
        <v>45362</v>
      </c>
      <c r="D683" t="inlineStr">
        <is>
          <t>ÖSTERGÖTLANDS LÄN</t>
        </is>
      </c>
      <c r="E683" t="inlineStr">
        <is>
          <t>ÅTVIDABERG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53076-2023</t>
        </is>
      </c>
      <c r="B684" s="1" t="n">
        <v>45227</v>
      </c>
      <c r="C684" s="1" t="n">
        <v>45362</v>
      </c>
      <c r="D684" t="inlineStr">
        <is>
          <t>ÖSTERGÖTLANDS LÄN</t>
        </is>
      </c>
      <c r="E684" t="inlineStr">
        <is>
          <t>ÅTVIDABERG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53073-2023</t>
        </is>
      </c>
      <c r="B685" s="1" t="n">
        <v>45227</v>
      </c>
      <c r="C685" s="1" t="n">
        <v>45362</v>
      </c>
      <c r="D685" t="inlineStr">
        <is>
          <t>ÖSTERGÖTLANDS LÄN</t>
        </is>
      </c>
      <c r="E685" t="inlineStr">
        <is>
          <t>ÅTVIDABERG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53165-2023</t>
        </is>
      </c>
      <c r="B686" s="1" t="n">
        <v>45229</v>
      </c>
      <c r="C686" s="1" t="n">
        <v>45362</v>
      </c>
      <c r="D686" t="inlineStr">
        <is>
          <t>ÖSTERGÖTLANDS LÄN</t>
        </is>
      </c>
      <c r="E686" t="inlineStr">
        <is>
          <t>ÅTVIDABERG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53158-2023</t>
        </is>
      </c>
      <c r="B687" s="1" t="n">
        <v>45229</v>
      </c>
      <c r="C687" s="1" t="n">
        <v>45362</v>
      </c>
      <c r="D687" t="inlineStr">
        <is>
          <t>ÖSTERGÖTLANDS LÄN</t>
        </is>
      </c>
      <c r="E687" t="inlineStr">
        <is>
          <t>ÅTVIDABERG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53163-2023</t>
        </is>
      </c>
      <c r="B688" s="1" t="n">
        <v>45229</v>
      </c>
      <c r="C688" s="1" t="n">
        <v>45362</v>
      </c>
      <c r="D688" t="inlineStr">
        <is>
          <t>ÖSTERGÖTLANDS LÄN</t>
        </is>
      </c>
      <c r="E688" t="inlineStr">
        <is>
          <t>ÅTVIDABERG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53167-2023</t>
        </is>
      </c>
      <c r="B689" s="1" t="n">
        <v>45229</v>
      </c>
      <c r="C689" s="1" t="n">
        <v>45362</v>
      </c>
      <c r="D689" t="inlineStr">
        <is>
          <t>ÖSTERGÖTLANDS LÄN</t>
        </is>
      </c>
      <c r="E689" t="inlineStr">
        <is>
          <t>ÅTVIDABERG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53172-2023</t>
        </is>
      </c>
      <c r="B690" s="1" t="n">
        <v>45229</v>
      </c>
      <c r="C690" s="1" t="n">
        <v>45362</v>
      </c>
      <c r="D690" t="inlineStr">
        <is>
          <t>ÖSTERGÖTLANDS LÄN</t>
        </is>
      </c>
      <c r="E690" t="inlineStr">
        <is>
          <t>ÅTVIDABERG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53173-2023</t>
        </is>
      </c>
      <c r="B691" s="1" t="n">
        <v>45229</v>
      </c>
      <c r="C691" s="1" t="n">
        <v>45362</v>
      </c>
      <c r="D691" t="inlineStr">
        <is>
          <t>ÖSTERGÖTLANDS LÄN</t>
        </is>
      </c>
      <c r="E691" t="inlineStr">
        <is>
          <t>ÅTVIDABERG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56524-2023</t>
        </is>
      </c>
      <c r="B692" s="1" t="n">
        <v>45243</v>
      </c>
      <c r="C692" s="1" t="n">
        <v>45362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56537-2023</t>
        </is>
      </c>
      <c r="B693" s="1" t="n">
        <v>45243</v>
      </c>
      <c r="C693" s="1" t="n">
        <v>45362</v>
      </c>
      <c r="D693" t="inlineStr">
        <is>
          <t>ÖSTERGÖTLANDS LÄN</t>
        </is>
      </c>
      <c r="E693" t="inlineStr">
        <is>
          <t>ÅTVIDABERG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56551-2023</t>
        </is>
      </c>
      <c r="B694" s="1" t="n">
        <v>45243</v>
      </c>
      <c r="C694" s="1" t="n">
        <v>45362</v>
      </c>
      <c r="D694" t="inlineStr">
        <is>
          <t>ÖSTERGÖTLANDS LÄN</t>
        </is>
      </c>
      <c r="E694" t="inlineStr">
        <is>
          <t>ÅTVIDABERG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57198-2023</t>
        </is>
      </c>
      <c r="B695" s="1" t="n">
        <v>45245</v>
      </c>
      <c r="C695" s="1" t="n">
        <v>45362</v>
      </c>
      <c r="D695" t="inlineStr">
        <is>
          <t>ÖSTERGÖTLANDS LÄN</t>
        </is>
      </c>
      <c r="E695" t="inlineStr">
        <is>
          <t>ÅTVIDABERG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58169-2023</t>
        </is>
      </c>
      <c r="B696" s="1" t="n">
        <v>45250</v>
      </c>
      <c r="C696" s="1" t="n">
        <v>45362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58164-2023</t>
        </is>
      </c>
      <c r="B697" s="1" t="n">
        <v>45250</v>
      </c>
      <c r="C697" s="1" t="n">
        <v>45362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58168-2023</t>
        </is>
      </c>
      <c r="B698" s="1" t="n">
        <v>45250</v>
      </c>
      <c r="C698" s="1" t="n">
        <v>45362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58172-2023</t>
        </is>
      </c>
      <c r="B699" s="1" t="n">
        <v>45250</v>
      </c>
      <c r="C699" s="1" t="n">
        <v>45362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Sveaskog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58170-2023</t>
        </is>
      </c>
      <c r="B700" s="1" t="n">
        <v>45250</v>
      </c>
      <c r="C700" s="1" t="n">
        <v>45362</v>
      </c>
      <c r="D700" t="inlineStr">
        <is>
          <t>ÖSTERGÖTLANDS LÄN</t>
        </is>
      </c>
      <c r="E700" t="inlineStr">
        <is>
          <t>ÅTVIDABERG</t>
        </is>
      </c>
      <c r="F700" t="inlineStr">
        <is>
          <t>Sveaskog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60198-2023</t>
        </is>
      </c>
      <c r="B701" s="1" t="n">
        <v>45258</v>
      </c>
      <c r="C701" s="1" t="n">
        <v>45362</v>
      </c>
      <c r="D701" t="inlineStr">
        <is>
          <t>ÖSTERGÖTLANDS LÄN</t>
        </is>
      </c>
      <c r="E701" t="inlineStr">
        <is>
          <t>ÅTVIDABERG</t>
        </is>
      </c>
      <c r="F701" t="inlineStr">
        <is>
          <t>Holmen skog AB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60217-2023</t>
        </is>
      </c>
      <c r="B702" s="1" t="n">
        <v>45258</v>
      </c>
      <c r="C702" s="1" t="n">
        <v>45362</v>
      </c>
      <c r="D702" t="inlineStr">
        <is>
          <t>ÖSTERGÖTLANDS LÄN</t>
        </is>
      </c>
      <c r="E702" t="inlineStr">
        <is>
          <t>ÅTVIDABERG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60514-2023</t>
        </is>
      </c>
      <c r="B703" s="1" t="n">
        <v>45259</v>
      </c>
      <c r="C703" s="1" t="n">
        <v>45362</v>
      </c>
      <c r="D703" t="inlineStr">
        <is>
          <t>ÖSTERGÖTLANDS LÄN</t>
        </is>
      </c>
      <c r="E703" t="inlineStr">
        <is>
          <t>ÅTVIDABERG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60510-2023</t>
        </is>
      </c>
      <c r="B704" s="1" t="n">
        <v>45259</v>
      </c>
      <c r="C704" s="1" t="n">
        <v>45362</v>
      </c>
      <c r="D704" t="inlineStr">
        <is>
          <t>ÖSTERGÖTLANDS LÄN</t>
        </is>
      </c>
      <c r="E704" t="inlineStr">
        <is>
          <t>ÅTVIDABERG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60513-2023</t>
        </is>
      </c>
      <c r="B705" s="1" t="n">
        <v>45259</v>
      </c>
      <c r="C705" s="1" t="n">
        <v>45362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60545-2023</t>
        </is>
      </c>
      <c r="B706" s="1" t="n">
        <v>45259</v>
      </c>
      <c r="C706" s="1" t="n">
        <v>45362</v>
      </c>
      <c r="D706" t="inlineStr">
        <is>
          <t>ÖSTERGÖTLANDS LÄN</t>
        </is>
      </c>
      <c r="E706" t="inlineStr">
        <is>
          <t>ÅTVIDABERG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60372-2023</t>
        </is>
      </c>
      <c r="B707" s="1" t="n">
        <v>45259</v>
      </c>
      <c r="C707" s="1" t="n">
        <v>45362</v>
      </c>
      <c r="D707" t="inlineStr">
        <is>
          <t>ÖSTERGÖTLANDS LÄN</t>
        </is>
      </c>
      <c r="E707" t="inlineStr">
        <is>
          <t>ÅTVIDABERG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60647-2023</t>
        </is>
      </c>
      <c r="B708" s="1" t="n">
        <v>45260</v>
      </c>
      <c r="C708" s="1" t="n">
        <v>45362</v>
      </c>
      <c r="D708" t="inlineStr">
        <is>
          <t>ÖSTERGÖTLANDS LÄN</t>
        </is>
      </c>
      <c r="E708" t="inlineStr">
        <is>
          <t>ÅTVIDABERG</t>
        </is>
      </c>
      <c r="F708" t="inlineStr">
        <is>
          <t>Holmen skog AB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61080-2023</t>
        </is>
      </c>
      <c r="B709" s="1" t="n">
        <v>45261</v>
      </c>
      <c r="C709" s="1" t="n">
        <v>45362</v>
      </c>
      <c r="D709" t="inlineStr">
        <is>
          <t>ÖSTERGÖTLANDS LÄN</t>
        </is>
      </c>
      <c r="E709" t="inlineStr">
        <is>
          <t>ÅTVIDABERG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61624-2023</t>
        </is>
      </c>
      <c r="B710" s="1" t="n">
        <v>45261</v>
      </c>
      <c r="C710" s="1" t="n">
        <v>45362</v>
      </c>
      <c r="D710" t="inlineStr">
        <is>
          <t>ÖSTERGÖTLANDS LÄN</t>
        </is>
      </c>
      <c r="E710" t="inlineStr">
        <is>
          <t>ÅTVIDABERG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62137-2023</t>
        </is>
      </c>
      <c r="B711" s="1" t="n">
        <v>45267</v>
      </c>
      <c r="C711" s="1" t="n">
        <v>45362</v>
      </c>
      <c r="D711" t="inlineStr">
        <is>
          <t>ÖSTERGÖTLANDS LÄN</t>
        </is>
      </c>
      <c r="E711" t="inlineStr">
        <is>
          <t>ÅTVIDABERG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62136-2023</t>
        </is>
      </c>
      <c r="B712" s="1" t="n">
        <v>45267</v>
      </c>
      <c r="C712" s="1" t="n">
        <v>45362</v>
      </c>
      <c r="D712" t="inlineStr">
        <is>
          <t>ÖSTERGÖTLANDS LÄN</t>
        </is>
      </c>
      <c r="E712" t="inlineStr">
        <is>
          <t>ÅTVIDABERG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62611-2023</t>
        </is>
      </c>
      <c r="B713" s="1" t="n">
        <v>45271</v>
      </c>
      <c r="C713" s="1" t="n">
        <v>45362</v>
      </c>
      <c r="D713" t="inlineStr">
        <is>
          <t>ÖSTERGÖTLANDS LÄN</t>
        </is>
      </c>
      <c r="E713" t="inlineStr">
        <is>
          <t>ÅTVIDABERG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HYPERLINK("https://klasma.github.io/Logging_0561/knärot/A 62611-2023 karta knärot.png", "A 62611-2023")</f>
        <v/>
      </c>
      <c r="V713">
        <f>HYPERLINK("https://klasma.github.io/Logging_0561/klagomål/A 62611-2023 FSC-klagomål.docx", "A 62611-2023")</f>
        <v/>
      </c>
      <c r="W713">
        <f>HYPERLINK("https://klasma.github.io/Logging_0561/klagomålsmail/A 62611-2023 FSC-klagomål mail.docx", "A 62611-2023")</f>
        <v/>
      </c>
      <c r="X713">
        <f>HYPERLINK("https://klasma.github.io/Logging_0561/tillsyn/A 62611-2023 tillsynsbegäran.docx", "A 62611-2023")</f>
        <v/>
      </c>
      <c r="Y713">
        <f>HYPERLINK("https://klasma.github.io/Logging_0561/tillsynsmail/A 62611-2023 tillsynsbegäran mail.docx", "A 62611-2023")</f>
        <v/>
      </c>
    </row>
    <row r="714" ht="15" customHeight="1">
      <c r="A714" t="inlineStr">
        <is>
          <t>A 62612-2023</t>
        </is>
      </c>
      <c r="B714" s="1" t="n">
        <v>45271</v>
      </c>
      <c r="C714" s="1" t="n">
        <v>45362</v>
      </c>
      <c r="D714" t="inlineStr">
        <is>
          <t>ÖSTERGÖTLANDS LÄN</t>
        </is>
      </c>
      <c r="E714" t="inlineStr">
        <is>
          <t>ÅTVIDABERG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63198-2023</t>
        </is>
      </c>
      <c r="B715" s="1" t="n">
        <v>45273</v>
      </c>
      <c r="C715" s="1" t="n">
        <v>45362</v>
      </c>
      <c r="D715" t="inlineStr">
        <is>
          <t>ÖSTERGÖTLANDS LÄN</t>
        </is>
      </c>
      <c r="E715" t="inlineStr">
        <is>
          <t>ÅTVIDABERG</t>
        </is>
      </c>
      <c r="G715" t="n">
        <v>13.1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63346-2023</t>
        </is>
      </c>
      <c r="B716" s="1" t="n">
        <v>45274</v>
      </c>
      <c r="C716" s="1" t="n">
        <v>45362</v>
      </c>
      <c r="D716" t="inlineStr">
        <is>
          <t>ÖSTERGÖTLANDS LÄN</t>
        </is>
      </c>
      <c r="E716" t="inlineStr">
        <is>
          <t>ÅTVIDABERG</t>
        </is>
      </c>
      <c r="F716" t="inlineStr">
        <is>
          <t>Övriga Aktiebolag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63385-2023</t>
        </is>
      </c>
      <c r="B717" s="1" t="n">
        <v>45274</v>
      </c>
      <c r="C717" s="1" t="n">
        <v>45362</v>
      </c>
      <c r="D717" t="inlineStr">
        <is>
          <t>ÖSTERGÖTLANDS LÄN</t>
        </is>
      </c>
      <c r="E717" t="inlineStr">
        <is>
          <t>ÅTVIDABERG</t>
        </is>
      </c>
      <c r="F717" t="inlineStr">
        <is>
          <t>Övriga Aktiebolag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63639-2023</t>
        </is>
      </c>
      <c r="B718" s="1" t="n">
        <v>45275</v>
      </c>
      <c r="C718" s="1" t="n">
        <v>45362</v>
      </c>
      <c r="D718" t="inlineStr">
        <is>
          <t>ÖSTERGÖTLANDS LÄN</t>
        </is>
      </c>
      <c r="E718" t="inlineStr">
        <is>
          <t>ÅTVIDABERG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64618-2023</t>
        </is>
      </c>
      <c r="B719" s="1" t="n">
        <v>45281</v>
      </c>
      <c r="C719" s="1" t="n">
        <v>45362</v>
      </c>
      <c r="D719" t="inlineStr">
        <is>
          <t>ÖSTERGÖTLANDS LÄN</t>
        </is>
      </c>
      <c r="E719" t="inlineStr">
        <is>
          <t>ÅTVIDABERG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398-2024</t>
        </is>
      </c>
      <c r="B720" s="1" t="n">
        <v>45296</v>
      </c>
      <c r="C720" s="1" t="n">
        <v>45362</v>
      </c>
      <c r="D720" t="inlineStr">
        <is>
          <t>ÖSTERGÖTLANDS LÄN</t>
        </is>
      </c>
      <c r="E720" t="inlineStr">
        <is>
          <t>ÅTVIDABERG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397-2024</t>
        </is>
      </c>
      <c r="B721" s="1" t="n">
        <v>45296</v>
      </c>
      <c r="C721" s="1" t="n">
        <v>45362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396-2024</t>
        </is>
      </c>
      <c r="B722" s="1" t="n">
        <v>45296</v>
      </c>
      <c r="C722" s="1" t="n">
        <v>45362</v>
      </c>
      <c r="D722" t="inlineStr">
        <is>
          <t>ÖSTERGÖTLANDS LÄN</t>
        </is>
      </c>
      <c r="E722" t="inlineStr">
        <is>
          <t>ÅTVIDABERG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400-2024</t>
        </is>
      </c>
      <c r="B723" s="1" t="n">
        <v>45296</v>
      </c>
      <c r="C723" s="1" t="n">
        <v>45362</v>
      </c>
      <c r="D723" t="inlineStr">
        <is>
          <t>ÖSTERGÖTLANDS LÄN</t>
        </is>
      </c>
      <c r="E723" t="inlineStr">
        <is>
          <t>ÅTVIDABERG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399-2024</t>
        </is>
      </c>
      <c r="B724" s="1" t="n">
        <v>45296</v>
      </c>
      <c r="C724" s="1" t="n">
        <v>45362</v>
      </c>
      <c r="D724" t="inlineStr">
        <is>
          <t>ÖSTERGÖTLANDS LÄN</t>
        </is>
      </c>
      <c r="E724" t="inlineStr">
        <is>
          <t>ÅTVIDABERG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926-2024</t>
        </is>
      </c>
      <c r="B725" s="1" t="n">
        <v>45301</v>
      </c>
      <c r="C725" s="1" t="n">
        <v>45362</v>
      </c>
      <c r="D725" t="inlineStr">
        <is>
          <t>ÖSTERGÖTLANDS LÄN</t>
        </is>
      </c>
      <c r="E725" t="inlineStr">
        <is>
          <t>ÅTVIDABERG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920-2024</t>
        </is>
      </c>
      <c r="B726" s="1" t="n">
        <v>45301</v>
      </c>
      <c r="C726" s="1" t="n">
        <v>45362</v>
      </c>
      <c r="D726" t="inlineStr">
        <is>
          <t>ÖSTERGÖTLANDS LÄN</t>
        </is>
      </c>
      <c r="E726" t="inlineStr">
        <is>
          <t>ÅTVIDABERG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2019-2024</t>
        </is>
      </c>
      <c r="B727" s="1" t="n">
        <v>45308</v>
      </c>
      <c r="C727" s="1" t="n">
        <v>45362</v>
      </c>
      <c r="D727" t="inlineStr">
        <is>
          <t>ÖSTERGÖTLANDS LÄN</t>
        </is>
      </c>
      <c r="E727" t="inlineStr">
        <is>
          <t>ÅTVIDABERG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2031-2024</t>
        </is>
      </c>
      <c r="B728" s="1" t="n">
        <v>45308</v>
      </c>
      <c r="C728" s="1" t="n">
        <v>45362</v>
      </c>
      <c r="D728" t="inlineStr">
        <is>
          <t>ÖSTERGÖTLANDS LÄN</t>
        </is>
      </c>
      <c r="E728" t="inlineStr">
        <is>
          <t>ÅTVIDABERG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2032-2024</t>
        </is>
      </c>
      <c r="B729" s="1" t="n">
        <v>45308</v>
      </c>
      <c r="C729" s="1" t="n">
        <v>45362</v>
      </c>
      <c r="D729" t="inlineStr">
        <is>
          <t>ÖSTERGÖTLANDS LÄN</t>
        </is>
      </c>
      <c r="E729" t="inlineStr">
        <is>
          <t>ÅTVIDABERG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2028-2024</t>
        </is>
      </c>
      <c r="B730" s="1" t="n">
        <v>45308</v>
      </c>
      <c r="C730" s="1" t="n">
        <v>45362</v>
      </c>
      <c r="D730" t="inlineStr">
        <is>
          <t>ÖSTERGÖTLANDS LÄN</t>
        </is>
      </c>
      <c r="E730" t="inlineStr">
        <is>
          <t>ÅTVIDABERG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2034-2024</t>
        </is>
      </c>
      <c r="B731" s="1" t="n">
        <v>45308</v>
      </c>
      <c r="C731" s="1" t="n">
        <v>45362</v>
      </c>
      <c r="D731" t="inlineStr">
        <is>
          <t>ÖSTERGÖTLANDS LÄN</t>
        </is>
      </c>
      <c r="E731" t="inlineStr">
        <is>
          <t>ÅTVIDABERG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2030-2024</t>
        </is>
      </c>
      <c r="B732" s="1" t="n">
        <v>45308</v>
      </c>
      <c r="C732" s="1" t="n">
        <v>45362</v>
      </c>
      <c r="D732" t="inlineStr">
        <is>
          <t>ÖSTERGÖTLANDS LÄN</t>
        </is>
      </c>
      <c r="E732" t="inlineStr">
        <is>
          <t>ÅTVIDABERG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2026-2024</t>
        </is>
      </c>
      <c r="B733" s="1" t="n">
        <v>45308</v>
      </c>
      <c r="C733" s="1" t="n">
        <v>45362</v>
      </c>
      <c r="D733" t="inlineStr">
        <is>
          <t>ÖSTERGÖTLANDS LÄN</t>
        </is>
      </c>
      <c r="E733" t="inlineStr">
        <is>
          <t>ÅTVIDABERG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2033-2024</t>
        </is>
      </c>
      <c r="B734" s="1" t="n">
        <v>45308</v>
      </c>
      <c r="C734" s="1" t="n">
        <v>45362</v>
      </c>
      <c r="D734" t="inlineStr">
        <is>
          <t>ÖSTERGÖTLANDS LÄN</t>
        </is>
      </c>
      <c r="E734" t="inlineStr">
        <is>
          <t>ÅTVIDABERG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2029-2024</t>
        </is>
      </c>
      <c r="B735" s="1" t="n">
        <v>45308</v>
      </c>
      <c r="C735" s="1" t="n">
        <v>45362</v>
      </c>
      <c r="D735" t="inlineStr">
        <is>
          <t>ÖSTERGÖTLANDS LÄN</t>
        </is>
      </c>
      <c r="E735" t="inlineStr">
        <is>
          <t>ÅTVIDABERG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2021-2024</t>
        </is>
      </c>
      <c r="B736" s="1" t="n">
        <v>45308</v>
      </c>
      <c r="C736" s="1" t="n">
        <v>45362</v>
      </c>
      <c r="D736" t="inlineStr">
        <is>
          <t>ÖSTERGÖTLANDS LÄN</t>
        </is>
      </c>
      <c r="E736" t="inlineStr">
        <is>
          <t>ÅTVIDABERG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2937-2024</t>
        </is>
      </c>
      <c r="B737" s="1" t="n">
        <v>45315</v>
      </c>
      <c r="C737" s="1" t="n">
        <v>45362</v>
      </c>
      <c r="D737" t="inlineStr">
        <is>
          <t>ÖSTERGÖTLANDS LÄN</t>
        </is>
      </c>
      <c r="E737" t="inlineStr">
        <is>
          <t>ÅTVIDABERG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2944-2024</t>
        </is>
      </c>
      <c r="B738" s="1" t="n">
        <v>45315</v>
      </c>
      <c r="C738" s="1" t="n">
        <v>45362</v>
      </c>
      <c r="D738" t="inlineStr">
        <is>
          <t>ÖSTERGÖTLANDS LÄN</t>
        </is>
      </c>
      <c r="E738" t="inlineStr">
        <is>
          <t>ÅTVIDABERG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3200-2024</t>
        </is>
      </c>
      <c r="B739" s="1" t="n">
        <v>45316</v>
      </c>
      <c r="C739" s="1" t="n">
        <v>45362</v>
      </c>
      <c r="D739" t="inlineStr">
        <is>
          <t>ÖSTERGÖTLANDS LÄN</t>
        </is>
      </c>
      <c r="E739" t="inlineStr">
        <is>
          <t>ÅTVIDABERG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3208-2024</t>
        </is>
      </c>
      <c r="B740" s="1" t="n">
        <v>45316</v>
      </c>
      <c r="C740" s="1" t="n">
        <v>45362</v>
      </c>
      <c r="D740" t="inlineStr">
        <is>
          <t>ÖSTERGÖTLANDS LÄN</t>
        </is>
      </c>
      <c r="E740" t="inlineStr">
        <is>
          <t>ÅTVIDABERG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3216-2024</t>
        </is>
      </c>
      <c r="B741" s="1" t="n">
        <v>45316</v>
      </c>
      <c r="C741" s="1" t="n">
        <v>45362</v>
      </c>
      <c r="D741" t="inlineStr">
        <is>
          <t>ÖSTERGÖTLANDS LÄN</t>
        </is>
      </c>
      <c r="E741" t="inlineStr">
        <is>
          <t>ÅTVIDABERG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3184-2024</t>
        </is>
      </c>
      <c r="B742" s="1" t="n">
        <v>45316</v>
      </c>
      <c r="C742" s="1" t="n">
        <v>45362</v>
      </c>
      <c r="D742" t="inlineStr">
        <is>
          <t>ÖSTERGÖTLANDS LÄN</t>
        </is>
      </c>
      <c r="E742" t="inlineStr">
        <is>
          <t>ÅTVIDABERG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3217-2024</t>
        </is>
      </c>
      <c r="B743" s="1" t="n">
        <v>45316</v>
      </c>
      <c r="C743" s="1" t="n">
        <v>45362</v>
      </c>
      <c r="D743" t="inlineStr">
        <is>
          <t>ÖSTERGÖTLANDS LÄN</t>
        </is>
      </c>
      <c r="E743" t="inlineStr">
        <is>
          <t>ÅTVIDABERG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4007-2024</t>
        </is>
      </c>
      <c r="B744" s="1" t="n">
        <v>45323</v>
      </c>
      <c r="C744" s="1" t="n">
        <v>45362</v>
      </c>
      <c r="D744" t="inlineStr">
        <is>
          <t>ÖSTERGÖTLANDS LÄN</t>
        </is>
      </c>
      <c r="E744" t="inlineStr">
        <is>
          <t>ÅTVIDABERG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4149-2024</t>
        </is>
      </c>
      <c r="B745" s="1" t="n">
        <v>45323</v>
      </c>
      <c r="C745" s="1" t="n">
        <v>45362</v>
      </c>
      <c r="D745" t="inlineStr">
        <is>
          <t>ÖSTERGÖTLANDS LÄN</t>
        </is>
      </c>
      <c r="E745" t="inlineStr">
        <is>
          <t>ÅTVIDABERG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4004-2024</t>
        </is>
      </c>
      <c r="B746" s="1" t="n">
        <v>45323</v>
      </c>
      <c r="C746" s="1" t="n">
        <v>45362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4327-2024</t>
        </is>
      </c>
      <c r="B747" s="1" t="n">
        <v>45324</v>
      </c>
      <c r="C747" s="1" t="n">
        <v>45362</v>
      </c>
      <c r="D747" t="inlineStr">
        <is>
          <t>ÖSTERGÖTLANDS LÄN</t>
        </is>
      </c>
      <c r="E747" t="inlineStr">
        <is>
          <t>ÅTVIDABERG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4322-2024</t>
        </is>
      </c>
      <c r="B748" s="1" t="n">
        <v>45324</v>
      </c>
      <c r="C748" s="1" t="n">
        <v>45362</v>
      </c>
      <c r="D748" t="inlineStr">
        <is>
          <t>ÖSTERGÖTLANDS LÄN</t>
        </is>
      </c>
      <c r="E748" t="inlineStr">
        <is>
          <t>ÅTVIDABERG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4325-2024</t>
        </is>
      </c>
      <c r="B749" s="1" t="n">
        <v>45324</v>
      </c>
      <c r="C749" s="1" t="n">
        <v>45362</v>
      </c>
      <c r="D749" t="inlineStr">
        <is>
          <t>ÖSTERGÖTLANDS LÄN</t>
        </is>
      </c>
      <c r="E749" t="inlineStr">
        <is>
          <t>ÅTVIDABERG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4317-2024</t>
        </is>
      </c>
      <c r="B750" s="1" t="n">
        <v>45324</v>
      </c>
      <c r="C750" s="1" t="n">
        <v>45362</v>
      </c>
      <c r="D750" t="inlineStr">
        <is>
          <t>ÖSTERGÖTLANDS LÄN</t>
        </is>
      </c>
      <c r="E750" t="inlineStr">
        <is>
          <t>ÅTVIDABERG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4460-2024</t>
        </is>
      </c>
      <c r="B751" s="1" t="n">
        <v>45327</v>
      </c>
      <c r="C751" s="1" t="n">
        <v>45362</v>
      </c>
      <c r="D751" t="inlineStr">
        <is>
          <t>ÖSTERGÖTLANDS LÄN</t>
        </is>
      </c>
      <c r="E751" t="inlineStr">
        <is>
          <t>ÅTVIDABERG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4471-2024</t>
        </is>
      </c>
      <c r="B752" s="1" t="n">
        <v>45327</v>
      </c>
      <c r="C752" s="1" t="n">
        <v>45362</v>
      </c>
      <c r="D752" t="inlineStr">
        <is>
          <t>ÖSTERGÖTLANDS LÄN</t>
        </is>
      </c>
      <c r="E752" t="inlineStr">
        <is>
          <t>ÅTVIDABERG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4431-2024</t>
        </is>
      </c>
      <c r="B753" s="1" t="n">
        <v>45327</v>
      </c>
      <c r="C753" s="1" t="n">
        <v>45362</v>
      </c>
      <c r="D753" t="inlineStr">
        <is>
          <t>ÖSTERGÖTLANDS LÄN</t>
        </is>
      </c>
      <c r="E753" t="inlineStr">
        <is>
          <t>ÅTVIDABERG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4429-2024</t>
        </is>
      </c>
      <c r="B754" s="1" t="n">
        <v>45327</v>
      </c>
      <c r="C754" s="1" t="n">
        <v>45362</v>
      </c>
      <c r="D754" t="inlineStr">
        <is>
          <t>ÖSTERGÖTLANDS LÄN</t>
        </is>
      </c>
      <c r="E754" t="inlineStr">
        <is>
          <t>ÅTVIDABERG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4476-2024</t>
        </is>
      </c>
      <c r="B755" s="1" t="n">
        <v>45327</v>
      </c>
      <c r="C755" s="1" t="n">
        <v>45362</v>
      </c>
      <c r="D755" t="inlineStr">
        <is>
          <t>ÖSTERGÖTLANDS LÄN</t>
        </is>
      </c>
      <c r="E755" t="inlineStr">
        <is>
          <t>ÅTVIDABERG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4734-2024</t>
        </is>
      </c>
      <c r="B756" s="1" t="n">
        <v>45328</v>
      </c>
      <c r="C756" s="1" t="n">
        <v>45362</v>
      </c>
      <c r="D756" t="inlineStr">
        <is>
          <t>ÖSTERGÖTLANDS LÄN</t>
        </is>
      </c>
      <c r="E756" t="inlineStr">
        <is>
          <t>ÅTVIDABERG</t>
        </is>
      </c>
      <c r="F756" t="inlineStr">
        <is>
          <t>Kyrkan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4805-2024</t>
        </is>
      </c>
      <c r="B757" s="1" t="n">
        <v>45328</v>
      </c>
      <c r="C757" s="1" t="n">
        <v>45362</v>
      </c>
      <c r="D757" t="inlineStr">
        <is>
          <t>ÖSTERGÖTLANDS LÄN</t>
        </is>
      </c>
      <c r="E757" t="inlineStr">
        <is>
          <t>ÅTVIDABERG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5601-2024</t>
        </is>
      </c>
      <c r="B758" s="1" t="n">
        <v>45334</v>
      </c>
      <c r="C758" s="1" t="n">
        <v>45362</v>
      </c>
      <c r="D758" t="inlineStr">
        <is>
          <t>ÖSTERGÖTLANDS LÄN</t>
        </is>
      </c>
      <c r="E758" t="inlineStr">
        <is>
          <t>ÅTVIDABERG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5499-2024</t>
        </is>
      </c>
      <c r="B759" s="1" t="n">
        <v>45334</v>
      </c>
      <c r="C759" s="1" t="n">
        <v>45362</v>
      </c>
      <c r="D759" t="inlineStr">
        <is>
          <t>ÖSTERGÖTLANDS LÄN</t>
        </is>
      </c>
      <c r="E759" t="inlineStr">
        <is>
          <t>ÅTVIDABERG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5494-2024</t>
        </is>
      </c>
      <c r="B760" s="1" t="n">
        <v>45334</v>
      </c>
      <c r="C760" s="1" t="n">
        <v>45362</v>
      </c>
      <c r="D760" t="inlineStr">
        <is>
          <t>ÖSTERGÖTLANDS LÄN</t>
        </is>
      </c>
      <c r="E760" t="inlineStr">
        <is>
          <t>ÅTVIDABERG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5503-2024</t>
        </is>
      </c>
      <c r="B761" s="1" t="n">
        <v>45334</v>
      </c>
      <c r="C761" s="1" t="n">
        <v>45362</v>
      </c>
      <c r="D761" t="inlineStr">
        <is>
          <t>ÖSTERGÖTLANDS LÄN</t>
        </is>
      </c>
      <c r="E761" t="inlineStr">
        <is>
          <t>ÅTVIDABERG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5492-2024</t>
        </is>
      </c>
      <c r="B762" s="1" t="n">
        <v>45334</v>
      </c>
      <c r="C762" s="1" t="n">
        <v>45362</v>
      </c>
      <c r="D762" t="inlineStr">
        <is>
          <t>ÖSTERGÖTLANDS LÄN</t>
        </is>
      </c>
      <c r="E762" t="inlineStr">
        <is>
          <t>ÅTVIDABERG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5501-2024</t>
        </is>
      </c>
      <c r="B763" s="1" t="n">
        <v>45334</v>
      </c>
      <c r="C763" s="1" t="n">
        <v>45362</v>
      </c>
      <c r="D763" t="inlineStr">
        <is>
          <t>ÖSTERGÖTLANDS LÄN</t>
        </is>
      </c>
      <c r="E763" t="inlineStr">
        <is>
          <t>ÅTVIDABERG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5496-2024</t>
        </is>
      </c>
      <c r="B764" s="1" t="n">
        <v>45334</v>
      </c>
      <c r="C764" s="1" t="n">
        <v>45362</v>
      </c>
      <c r="D764" t="inlineStr">
        <is>
          <t>ÖSTERGÖTLANDS LÄN</t>
        </is>
      </c>
      <c r="E764" t="inlineStr">
        <is>
          <t>ÅTVIDABERG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5491-2024</t>
        </is>
      </c>
      <c r="B765" s="1" t="n">
        <v>45334</v>
      </c>
      <c r="C765" s="1" t="n">
        <v>45362</v>
      </c>
      <c r="D765" t="inlineStr">
        <is>
          <t>ÖSTERGÖTLANDS LÄN</t>
        </is>
      </c>
      <c r="E765" t="inlineStr">
        <is>
          <t>ÅTVIDABERG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6251-2024</t>
        </is>
      </c>
      <c r="B766" s="1" t="n">
        <v>45337</v>
      </c>
      <c r="C766" s="1" t="n">
        <v>45362</v>
      </c>
      <c r="D766" t="inlineStr">
        <is>
          <t>ÖSTERGÖTLANDS LÄN</t>
        </is>
      </c>
      <c r="E766" t="inlineStr">
        <is>
          <t>ÅTVIDABERG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7091-2024</t>
        </is>
      </c>
      <c r="B767" s="1" t="n">
        <v>45343</v>
      </c>
      <c r="C767" s="1" t="n">
        <v>45362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7615-2024</t>
        </is>
      </c>
      <c r="B768" s="1" t="n">
        <v>45348</v>
      </c>
      <c r="C768" s="1" t="n">
        <v>45362</v>
      </c>
      <c r="D768" t="inlineStr">
        <is>
          <t>ÖSTERGÖTLANDS LÄN</t>
        </is>
      </c>
      <c r="E768" t="inlineStr">
        <is>
          <t>ÅTVIDABERG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7550-2024</t>
        </is>
      </c>
      <c r="B769" s="1" t="n">
        <v>45348</v>
      </c>
      <c r="C769" s="1" t="n">
        <v>45362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7936-2024</t>
        </is>
      </c>
      <c r="B770" s="1" t="n">
        <v>45350</v>
      </c>
      <c r="C770" s="1" t="n">
        <v>45362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8042-2024</t>
        </is>
      </c>
      <c r="B771" s="1" t="n">
        <v>45351</v>
      </c>
      <c r="C771" s="1" t="n">
        <v>45362</v>
      </c>
      <c r="D771" t="inlineStr">
        <is>
          <t>ÖSTERGÖTLANDS LÄN</t>
        </is>
      </c>
      <c r="E771" t="inlineStr">
        <is>
          <t>ÅTVIDABERG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8599-2024</t>
        </is>
      </c>
      <c r="B772" s="1" t="n">
        <v>45355</v>
      </c>
      <c r="C772" s="1" t="n">
        <v>45362</v>
      </c>
      <c r="D772" t="inlineStr">
        <is>
          <t>ÖSTERGÖTLANDS LÄN</t>
        </is>
      </c>
      <c r="E772" t="inlineStr">
        <is>
          <t>ÅTVIDABERG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9196-2024</t>
        </is>
      </c>
      <c r="B773" s="1" t="n">
        <v>45358</v>
      </c>
      <c r="C773" s="1" t="n">
        <v>45362</v>
      </c>
      <c r="D773" t="inlineStr">
        <is>
          <t>ÖSTERGÖTLANDS LÄN</t>
        </is>
      </c>
      <c r="E773" t="inlineStr">
        <is>
          <t>ÅTVIDABERG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2024-03-11T13:49:42Z</dcterms:created>
  <dcterms:modified xmlns:dcterms="http://purl.org/dc/terms/" xmlns:xsi="http://www.w3.org/2001/XMLSchema-instance" xsi:type="dcterms:W3CDTF">2024-03-11T13:49:43Z</dcterms:modified>
</cp:coreProperties>
</file>